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1f98f197e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 to Use" sheetId="1" r:id="R94383df8a4c1473b"/>
    <x:sheet xmlns:r="http://schemas.openxmlformats.org/officeDocument/2006/relationships" name="Program Inputs" sheetId="2" r:id="Rdc87922a82734e76"/>
    <x:sheet xmlns:r="http://schemas.openxmlformats.org/officeDocument/2006/relationships" name="ABX Blueprint" sheetId="3" r:id="Re5eab05ad3984dc1"/>
    <x:sheet xmlns:r="http://schemas.openxmlformats.org/officeDocument/2006/relationships" name="Alignment" sheetId="4" r:id="Rd7451a320b254b59"/>
    <x:sheet xmlns:r="http://schemas.openxmlformats.org/officeDocument/2006/relationships" name="Experience" sheetId="5" r:id="R163c5d635c5b4e69"/>
    <x:sheet xmlns:r="http://schemas.openxmlformats.org/officeDocument/2006/relationships" name="Engagement" sheetId="6" r:id="R60ab4924ea6044fc"/>
    <x:sheet xmlns:r="http://schemas.openxmlformats.org/officeDocument/2006/relationships" name="Signals &amp; Routing" sheetId="7" r:id="R0e52e6a9b71943f7"/>
    <x:sheet xmlns:r="http://schemas.openxmlformats.org/officeDocument/2006/relationships" name="Campaign Calendar" sheetId="8" r:id="R9e85ada9cfa24461"/>
    <x:sheet xmlns:r="http://schemas.openxmlformats.org/officeDocument/2006/relationships" name="Persona &amp; Content" sheetId="9" r:id="Rc6d489212e2a43a4"/>
    <x:sheet xmlns:r="http://schemas.openxmlformats.org/officeDocument/2006/relationships" name="Commercial Model" sheetId="10" r:id="R15c84aa53fdd4e3e"/>
    <x:sheet xmlns:r="http://schemas.openxmlformats.org/officeDocument/2006/relationships" name="Sequence Library" sheetId="11" r:id="R817978992c0445fd"/>
    <x:sheet xmlns:r="http://schemas.openxmlformats.org/officeDocument/2006/relationships" name="Prompt Library" sheetId="12" r:id="R968f2e1eb3804627"/>
    <x:sheet xmlns:r="http://schemas.openxmlformats.org/officeDocument/2006/relationships" name="Measurement" sheetId="13" r:id="R009a1cf31771451a"/>
    <x:sheet xmlns:r="http://schemas.openxmlformats.org/officeDocument/2006/relationships" name="Source Files" sheetId="14" r:id="R14ca695e078f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%"/>
    <x:numFmt numFmtId="202" formatCode="$#,##0"/>
    <x:numFmt numFmtId="203" formatCode="0.0%"/>
    <x:numFmt numFmtId="204" formatCode="#,##0.0"/>
  </x:numFmts>
  <x:fonts count="6">
    <x:font>
      <x:sz val="11"/>
      <x:name val="Carlito"/>
    </x:font>
    <x:font>
      <x:sz val="10"/>
      <x:color rgb="FF243247"/>
      <x:name val="Aptos"/>
    </x:font>
    <x:font>
      <x:b/>
      <x:sz val="18"/>
      <x:color rgb="FFFFFFFF"/>
      <x:name val="Aptos"/>
    </x:font>
    <x:font>
      <x:i/>
      <x:sz val="10"/>
      <x:color rgb="FF243247"/>
      <x:name val="Aptos"/>
    </x:font>
    <x:font>
      <x:b/>
      <x:sz val="10"/>
      <x:color rgb="FFFFFFFF"/>
      <x:name val="Aptos"/>
    </x:font>
    <x:font>
      <x:b/>
      <x:sz val="10"/>
      <x:color rgb="FF243247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4519B8"/>
      </x:patternFill>
    </x:fill>
    <x:fill>
      <x:patternFill patternType="solid">
        <x:fgColor rgb="FFEEE8FF"/>
      </x:patternFill>
    </x:fill>
    <x:fill>
      <x:patternFill patternType="solid">
        <x:fgColor rgb="FF20324A"/>
      </x:patternFill>
    </x:fill>
    <x:fill>
      <x:patternFill patternType="solid">
        <x:fgColor rgb="FFFFF2CC"/>
      </x:patternFill>
    </x:fill>
    <x:fill>
      <x:patternFill patternType="solid">
        <x:fgColor rgb="FFEEF5FA"/>
      </x:patternFill>
    </x:fill>
    <x:fill>
      <x:patternFill patternType="solid">
        <x:fgColor rgb="FFF53BA5"/>
      </x:patternFill>
    </x:fill>
    <x:fill>
      <x:patternFill patternType="solid">
        <x:fgColor rgb="FFB7E1CD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200" fontId="1" fillId="5" borderId="1" xfId="0" applyNumberFormat="1" applyFont="1" applyFill="1" applyBorder="1" applyAlignment="1">
      <x:alignment vertical="top" wrapText="1"/>
    </x:xf>
    <x:xf numFmtId="201" fontId="1" fillId="5" borderId="1" xfId="0" applyNumberFormat="1" applyFont="1" applyFill="1" applyBorder="1" applyAlignment="1">
      <x:alignment vertical="top" wrapText="1"/>
    </x:xf>
    <x:xf numFmtId="202" fontId="1" fillId="5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203" fontId="1" fillId="8" borderId="1" xfId="0" applyNumberFormat="1" applyFont="1" applyFill="1" applyBorder="1" applyAlignment="1">
      <x:alignment vertical="top" wrapText="1"/>
    </x:xf>
    <x:xf numFmtId="202" fontId="1" fillId="8" borderId="1" xfId="0" applyNumberFormat="1" applyFont="1" applyFill="1" applyBorder="1" applyAlignment="1">
      <x:alignment vertical="top" wrapText="1"/>
    </x:xf>
    <x:xf numFmtId="200" fontId="1" fillId="8" borderId="1" xfId="0" applyNumberFormat="1" applyFont="1" applyFill="1" applyBorder="1" applyAlignment="1">
      <x:alignment vertical="top" wrapText="1"/>
    </x:xf>
    <x:xf numFmtId="204" fontId="1" fillId="8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8a281e90d4778" /><Relationship Type="http://schemas.openxmlformats.org/officeDocument/2006/relationships/theme" Target="/xl/theme/theme1.xml" Id="Ra2730eef3d5f475c" /><Relationship Type="http://schemas.openxmlformats.org/officeDocument/2006/relationships/sharedStrings" Target="/xl/sharedStrings.xml" Id="R96b8071ea321419d" /><Relationship Type="http://schemas.openxmlformats.org/officeDocument/2006/relationships/worksheet" Target="/xl/worksheets/sheet1.xml" Id="R94383df8a4c1473b" /><Relationship Type="http://schemas.openxmlformats.org/officeDocument/2006/relationships/worksheet" Target="/xl/worksheets/sheet2.xml" Id="Rdc87922a82734e76" /><Relationship Type="http://schemas.openxmlformats.org/officeDocument/2006/relationships/worksheet" Target="/xl/worksheets/sheet3.xml" Id="Re5eab05ad3984dc1" /><Relationship Type="http://schemas.openxmlformats.org/officeDocument/2006/relationships/worksheet" Target="/xl/worksheets/sheet4.xml" Id="Rd7451a320b254b59" /><Relationship Type="http://schemas.openxmlformats.org/officeDocument/2006/relationships/worksheet" Target="/xl/worksheets/sheet5.xml" Id="R163c5d635c5b4e69" /><Relationship Type="http://schemas.openxmlformats.org/officeDocument/2006/relationships/worksheet" Target="/xl/worksheets/sheet6.xml" Id="R60ab4924ea6044fc" /><Relationship Type="http://schemas.openxmlformats.org/officeDocument/2006/relationships/worksheet" Target="/xl/worksheets/sheet7.xml" Id="R0e52e6a9b71943f7" /><Relationship Type="http://schemas.openxmlformats.org/officeDocument/2006/relationships/worksheet" Target="/xl/worksheets/sheet8.xml" Id="R9e85ada9cfa24461" /><Relationship Type="http://schemas.openxmlformats.org/officeDocument/2006/relationships/worksheet" Target="/xl/worksheets/sheet9.xml" Id="Rc6d489212e2a43a4" /><Relationship Type="http://schemas.openxmlformats.org/officeDocument/2006/relationships/worksheet" Target="/xl/worksheets/sheet10.xml" Id="R15c84aa53fdd4e3e" /><Relationship Type="http://schemas.openxmlformats.org/officeDocument/2006/relationships/worksheet" Target="/xl/worksheets/sheet11.xml" Id="R817978992c0445fd" /><Relationship Type="http://schemas.openxmlformats.org/officeDocument/2006/relationships/worksheet" Target="/xl/worksheets/sheet12.xml" Id="R968f2e1eb3804627" /><Relationship Type="http://schemas.openxmlformats.org/officeDocument/2006/relationships/worksheet" Target="/xl/worksheets/sheet13.xml" Id="R009a1cf31771451a" /><Relationship Type="http://schemas.openxmlformats.org/officeDocument/2006/relationships/worksheet" Target="/xl/worksheets/sheet14.xml" Id="R14ca695e078f4b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76" hidden="0" customWidth="1"/>
    <x:col min="4" max="4" width="30" hidden="0" customWidth="1"/>
  </x:cols>
  <x:sheetData>
    <x:row r="1" ht="34" customHeight="1">
      <x:c r="A1" s="37" t="str">
        <x:v>Reusable Customer ABX Program Workbook</x:v>
      </x:c>
      <x:c r="B1" s="37"/>
      <x:c r="C1" s="37"/>
      <x:c r="D1" s="37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0" customHeight="1">
      <x:c r="A2" s="39" t="str">
        <x:v>A customer-neutral delivery template modeled on the Folloze Academy ABX Blueprint. Replace bracketed placeholders and yellow inputs; preserve formulas and governance logic.</x:v>
      </x:c>
      <x:c r="B2" s="39"/>
      <x:c r="C2" s="39"/>
      <x:c r="D2" s="39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0" t="str">
        <x:v>Step</x:v>
      </x:c>
      <x:c r="B4" s="40" t="str">
        <x:v>Workstream</x:v>
      </x:c>
      <x:c r="C4" s="40" t="str">
        <x:v>What to do</x:v>
      </x:c>
      <x:c r="D4" s="40" t="str">
        <x:v>Output / owner</x:v>
      </x:c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46" customHeight="1">
      <x:c r="A5" s="16" t="n">
        <x:v>1</x:v>
      </x:c>
      <x:c r="B5" s="16" t="str">
        <x:v>Create the workspace</x:v>
      </x:c>
      <x:c r="C5" s="16" t="str">
        <x:v>Copy this workbook and the companion walkthrough. Populate the Source Files tab with customer folder links.</x:v>
      </x:c>
      <x:c r="D5" s="16" t="str">
        <x:v>Program lead</x:v>
      </x:c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46" customHeight="1">
      <x:c r="A6" s="16" t="n">
        <x:v>2</x:v>
      </x:c>
      <x:c r="B6" s="16" t="str">
        <x:v>Audit sources</x:v>
      </x:c>
      <x:c r="C6" s="16" t="str">
        <x:v>Separate reusable methodology from customer-specific claims, segments, proof, content and capacity constraints.</x:v>
      </x:c>
      <x:c r="D6" s="16" t="str">
        <x:v>Source audit</x:v>
      </x:c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46" customHeight="1">
      <x:c r="A7" s="16" t="n">
        <x:v>3</x:v>
      </x:c>
      <x:c r="B7" s="16" t="str">
        <x:v>Run the decision workshop</x:v>
      </x:c>
      <x:c r="C7" s="16" t="str">
        <x:v>Confirm segment, 500-account universe, acquisition/expansion mix, personas, stages, values, routing and service levels.</x:v>
      </x:c>
      <x:c r="D7" s="16" t="str">
        <x:v>Approved inputs</x:v>
      </x:c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46" customHeight="1">
      <x:c r="A8" s="16" t="n">
        <x:v>4</x:v>
      </x:c>
      <x:c r="B8" s="16" t="str">
        <x:v>Build the Blueprint</x:v>
      </x:c>
      <x:c r="C8" s="16" t="str">
        <x:v>Complete Alignment, Experience, Engagement and Signals. The ABX Blueprint tab is the executive synthesis.</x:v>
      </x:c>
      <x:c r="D8" s="16" t="str">
        <x:v>Blueprint v1</x:v>
      </x:c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46" customHeight="1">
      <x:c r="A9" s="16" t="n">
        <x:v>5</x:v>
      </x:c>
      <x:c r="B9" s="16" t="str">
        <x:v>Model the program</x:v>
      </x:c>
      <x:c r="C9" s="16" t="str">
        <x:v>Validate opportunity pacing, opportunity value, funnel assumptions, coverage and sales capacity.</x:v>
      </x:c>
      <x:c r="D9" s="16" t="str">
        <x:v>Commercial model</x:v>
      </x:c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46" customHeight="1">
      <x:c r="A10" s="16" t="n">
        <x:v>6</x:v>
      </x:c>
      <x:c r="B10" s="16" t="str">
        <x:v>Design activation</x:v>
      </x:c>
      <x:c r="C10" s="16" t="str">
        <x:v>Map campaigns, personas, channels, content, boards, sequences and offers by stage.</x:v>
      </x:c>
      <x:c r="D10" s="16" t="str">
        <x:v>12-month calendar</x:v>
      </x:c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46" customHeight="1">
      <x:c r="A11" s="16" t="n">
        <x:v>7</x:v>
      </x:c>
      <x:c r="B11" s="16" t="str">
        <x:v>Operationalize</x:v>
      </x:c>
      <x:c r="C11" s="16" t="str">
        <x:v>Configure 6sense, Folloze, Salesforce, Marketo, LinkedIn and Outreach/Salesloft outputs and 24-hour surge response.</x:v>
      </x:c>
      <x:c r="D11" s="16" t="str">
        <x:v>Routing + SLAs</x:v>
      </x:c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 ht="46" customHeight="1">
      <x:c r="A12" s="16" t="n">
        <x:v>8</x:v>
      </x:c>
      <x:c r="B12" s="16" t="str">
        <x:v>Launch Crawl–Walk–Run</x:v>
      </x:c>
      <x:c r="C12" s="16" t="str">
        <x:v>Crawl delivers first 10–15 SAOs; Walk adds 25; Run adds 60–65 and scales globally.</x:v>
      </x:c>
      <x:c r="D12" s="16" t="str">
        <x:v>Operating roadmap</x:v>
      </x:c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 ht="46" customHeight="1">
      <x:c r="A13" s="16" t="n">
        <x:v>9</x:v>
      </x:c>
      <x:c r="B13" s="16" t="str">
        <x:v>Measure and optimize</x:v>
      </x:c>
      <x:c r="C13" s="16" t="str">
        <x:v>Review coverage weekly, engagement fortnightly, pipeline monthly and governance quarterly.</x:v>
      </x:c>
      <x:c r="D13" s="16" t="str">
        <x:v>Decision log</x:v>
      </x:c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 ht="24" customHeight="1">
      <x:c r="A15" s="41" t="str">
        <x:v>Required final deliverables</x:v>
      </x:c>
      <x:c r="B15" s="41"/>
      <x:c r="C15" s="41"/>
      <x:c r="D15" s="41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16" t="str">
        <x:v>1</x:v>
      </x:c>
      <x:c r="B16" s="16" t="str">
        <x:v>Completed workbook</x:v>
      </x:c>
      <x:c r="C16" s="16" t="str">
        <x:v>All customer-specific assumptions, campaigns, prompts, routing criteria and measures</x:v>
      </x:c>
      <x:c r="D16" s="16" t="str">
        <x:v>Required</x:v>
      </x:c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16" t="str">
        <x:v>2</x:v>
      </x:c>
      <x:c r="B17" s="16" t="str">
        <x:v>Executive Blueprint</x:v>
      </x:c>
      <x:c r="C17" s="16" t="str">
        <x:v>One-page ABX Blueprint matrix for leadership alignment</x:v>
      </x:c>
      <x:c r="D17" s="16" t="str">
        <x:v>Required</x:v>
      </x:c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16" t="str">
        <x:v>3</x:v>
      </x:c>
      <x:c r="B18" s="16" t="str">
        <x:v>Activation package</x:v>
      </x:c>
      <x:c r="C18" s="16" t="str">
        <x:v>Folloze boards, ads, Marketo programs and BDR sequences</x:v>
      </x:c>
      <x:c r="D18" s="16" t="str">
        <x:v>Required</x:v>
      </x:c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16" t="str">
        <x:v>4</x:v>
      </x:c>
      <x:c r="B19" s="16" t="str">
        <x:v>Measurement package</x:v>
      </x:c>
      <x:c r="C19" s="16" t="str">
        <x:v>Dashboards, field definitions, stage exits and optimization cadence</x:v>
      </x:c>
      <x:c r="D19" s="16" t="str">
        <x:v>Required</x:v>
      </x:c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16" t="str">
        <x:v>5</x:v>
      </x:c>
      <x:c r="B20" s="16" t="str">
        <x:v>Source register</x:v>
      </x:c>
      <x:c r="C20" s="16" t="str">
        <x:v>Folder links, owners, freshness and approved-use notes</x:v>
      </x:c>
      <x:c r="D20" s="16" t="str">
        <x:v>Required</x:v>
      </x:c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16" t="str">
        <x:v>6</x:v>
      </x:c>
      <x:c r="B21" s="16" t="str">
        <x:v>Decision log</x:v>
      </x:c>
      <x:c r="C21" s="16" t="str">
        <x:v>Open questions, owners, due dates and approved changes</x:v>
      </x:c>
      <x:c r="D21" s="16" t="str">
        <x:v>Required</x:v>
      </x:c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16" t="str">
        <x:v>7</x:v>
      </x:c>
      <x:c r="B22" s="16" t="str">
        <x:v>Companion walkthrough</x:v>
      </x:c>
      <x:c r="C22" s="16" t="str">
        <x:v>Link to the reusable implementation guide</x:v>
      </x:c>
      <x:c r="D22" s="16" t="str">
        <x:v>[WALKTHROUGH_DOC_LINK]</x:v>
      </x:c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mergeCells>
    <x:mergeCell ref="A1:D1"/>
    <x:mergeCell ref="A2:D2"/>
    <x:mergeCell ref="A15:D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28" hidden="0" customWidth="1"/>
    <x:col min="4" max="4" width="68" hidden="0" customWidth="1"/>
  </x:cols>
  <x:sheetData>
    <x:row r="1" ht="34" customHeight="1">
      <x:c r="A1" s="37" t="str">
        <x:v>Program Inputs</x:v>
      </x:c>
      <x:c r="B1" s="37"/>
      <x:c r="C1" s="37"/>
      <x:c r="D1" s="37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0" customHeight="1">
      <x:c r="A2" s="39" t="str">
        <x:v>Yellow cells are editable. Default planning scenario: one segment, 500 accounts, 100 opportunities over 12 months.</x:v>
      </x:c>
      <x:c r="B2" s="39"/>
      <x:c r="C2" s="39"/>
      <x:c r="D2" s="39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0" t="str">
        <x:v>Variable</x:v>
      </x:c>
      <x:c r="B4" s="40" t="str">
        <x:v>Customer input</x:v>
      </x:c>
      <x:c r="C4" s="40" t="str">
        <x:v>Default / unit</x:v>
      </x:c>
      <x:c r="D4" s="40" t="str">
        <x:v>Decision guidance</x:v>
      </x:c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16" t="str">
        <x:v>Customer name</x:v>
      </x:c>
      <x:c r="B5" s="21" t="str">
        <x:v>[CUSTOMER_NAME]</x:v>
      </x:c>
      <x:c r="C5" s="16" t="str">
        <x:v>Text</x:v>
      </x:c>
      <x:c r="D5" s="16" t="str">
        <x:v>Use the approved legal or market-facing name.</x:v>
      </x:c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16" t="str">
        <x:v>Program segment</x:v>
      </x:c>
      <x:c r="B6" s="21" t="str">
        <x:v>[PROGRAM_SEGMENT]</x:v>
      </x:c>
      <x:c r="C6" s="16" t="str">
        <x:v>One segment</x:v>
      </x:c>
      <x:c r="D6" s="16" t="str">
        <x:v>Define industry, size, geography and buying condition.</x:v>
      </x:c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16" t="str">
        <x:v>Target accounts</x:v>
      </x:c>
      <x:c r="B7" s="22" t="n">
        <x:v>500</x:v>
      </x:c>
      <x:c r="C7" s="16" t="str">
        <x:v>Accounts</x:v>
      </x:c>
      <x:c r="D7" s="16" t="str">
        <x:v>Deduplicated, owned and capacity-qualified.</x:v>
      </x:c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16" t="str">
        <x:v>12-month opportunity target</x:v>
      </x:c>
      <x:c r="B8" s="22" t="n">
        <x:v>100</x:v>
      </x:c>
      <x:c r="C8" s="16" t="str">
        <x:v>Opportunities</x:v>
      </x:c>
      <x:c r="D8" s="16" t="str">
        <x:v>Sales-accepted opportunities, not MQLs.</x:v>
      </x:c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16" t="str">
        <x:v>Acquisition share</x:v>
      </x:c>
      <x:c r="B9" s="23" t="n">
        <x:v>0.6</x:v>
      </x:c>
      <x:c r="C9" s="16" t="str">
        <x:v>% of opportunity target</x:v>
      </x:c>
      <x:c r="D9" s="16" t="str">
        <x:v>Net-new logo emphasis; balance to fit growth strategy.</x:v>
      </x:c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16" t="str">
        <x:v>Expansion share</x:v>
      </x:c>
      <x:c r="B10" s="23" t="n">
        <x:v>0.4</x:v>
      </x:c>
      <x:c r="C10" s="16" t="str">
        <x:v>% of opportunity target</x:v>
      </x:c>
      <x:c r="D10" s="16" t="str">
        <x:v>White space, renewal-adjacent or cross-sell growth.</x:v>
      </x:c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16" t="str">
        <x:v>Average opportunity value</x:v>
      </x:c>
      <x:c r="B11" s="24" t="n">
        <x:v>250000</x:v>
      </x:c>
      <x:c r="C11" s="16" t="str">
        <x:v>USD</x:v>
      </x:c>
      <x:c r="D11" s="16" t="str">
        <x:v>Use stage-consistent Salesforce amount logic.</x:v>
      </x:c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16" t="str">
        <x:v>Target contacts per account</x:v>
      </x:c>
      <x:c r="B12" s="22" t="n">
        <x:v>6</x:v>
      </x:c>
      <x:c r="C12" s="16" t="str">
        <x:v>People</x:v>
      </x:c>
      <x:c r="D12" s="16" t="str">
        <x:v>Multi-thread across economic, technical, operational and champion roles.</x:v>
      </x:c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16" t="str">
        <x:v>Opportunity-to-win rate</x:v>
      </x:c>
      <x:c r="B13" s="23" t="n">
        <x:v>0.25</x:v>
      </x:c>
      <x:c r="C13" s="16" t="str">
        <x:v>%</x:v>
      </x:c>
      <x:c r="D13" s="16" t="str">
        <x:v>Used for value and expected bookings scenarios.</x:v>
      </x:c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16" t="str">
        <x:v>Program start</x:v>
      </x:c>
      <x:c r="B14" s="21" t="str">
        <x:v>[PROGRAM_START_DATE]</x:v>
      </x:c>
      <x:c r="C14" s="16" t="str">
        <x:v>YYYY-MM-DD</x:v>
      </x:c>
      <x:c r="D14" s="16" t="str">
        <x:v>Month 1 begins after data, ownership and response readiness are approved.</x:v>
      </x:c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16" t="str">
        <x:v>Regions</x:v>
      </x:c>
      <x:c r="B15" s="21" t="str">
        <x:v>[REGIONS]</x:v>
      </x:c>
      <x:c r="C15" s="16" t="str">
        <x:v>Text</x:v>
      </x:c>
      <x:c r="D15" s="16" t="str">
        <x:v>Only include geographies with delivery capacity.</x:v>
      </x:c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16" t="str">
        <x:v>Languages</x:v>
      </x:c>
      <x:c r="B16" s="21" t="str">
        <x:v>[LANGUAGES]</x:v>
      </x:c>
      <x:c r="C16" s="16" t="str">
        <x:v>Text</x:v>
      </x:c>
      <x:c r="D16" s="16" t="str">
        <x:v>Define localization and content governance needs.</x:v>
      </x:c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16" t="str">
        <x:v>Account intelligence</x:v>
      </x:c>
      <x:c r="B17" s="21" t="str">
        <x:v>6sense</x:v>
      </x:c>
      <x:c r="C17" s="16" t="str">
        <x:v>System</x:v>
      </x:c>
      <x:c r="D17" s="16" t="str">
        <x:v>Explicit intelligence and orchestration layer.</x:v>
      </x:c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16" t="str">
        <x:v>Experience platform</x:v>
      </x:c>
      <x:c r="B18" s="21" t="str">
        <x:v>Folloze</x:v>
      </x:c>
      <x:c r="C18" s="16" t="str">
        <x:v>System</x:v>
      </x:c>
      <x:c r="D18" s="16" t="str">
        <x:v>Governed experience and first-party engagement layer.</x:v>
      </x:c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16" t="str">
        <x:v>CRM</x:v>
      </x:c>
      <x:c r="B19" s="21" t="str">
        <x:v>Salesforce</x:v>
      </x:c>
      <x:c r="C19" s="16" t="str">
        <x:v>System</x:v>
      </x:c>
      <x:c r="D19" s="16" t="str">
        <x:v>Opportunity, ownership, activity and revenue system of record.</x:v>
      </x:c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16" t="str">
        <x:v>Marketing automation</x:v>
      </x:c>
      <x:c r="B20" s="21" t="str">
        <x:v>Marketo</x:v>
      </x:c>
      <x:c r="C20" s="16" t="str">
        <x:v>System</x:v>
      </x:c>
      <x:c r="D20" s="16" t="str">
        <x:v>Nurture, scoring, email and campaign membership.</x:v>
      </x:c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16" t="str">
        <x:v>Paid / buyer discovery</x:v>
      </x:c>
      <x:c r="B21" s="21" t="str">
        <x:v>LinkedIn</x:v>
      </x:c>
      <x:c r="C21" s="16" t="str">
        <x:v>System</x:v>
      </x:c>
      <x:c r="D21" s="16" t="str">
        <x:v>Persona discovery, matched audiences and paid engagement.</x:v>
      </x:c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16" t="str">
        <x:v>Sales engagement</x:v>
      </x:c>
      <x:c r="B22" s="21" t="str">
        <x:v>Outreach / Salesloft</x:v>
      </x:c>
      <x:c r="C22" s="16" t="str">
        <x:v>System</x:v>
      </x:c>
      <x:c r="D22" s="16" t="str">
        <x:v>BDR sequence execution and task telemetry.</x:v>
      </x:c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mergeCells>
    <x:mergeCell ref="A1:D1"/>
    <x:mergeCell ref="A2:D2"/>
  </x:mergeCells>
  <x:dataValidations count="1">
    <x:dataValidation type="decimal" operator="between" sqref="B9:B10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  <x:col min="9" max="9" width="18" hidden="0" customWidth="1"/>
  </x:cols>
  <x:sheetData>
    <x:row r="1" ht="34" customHeight="1">
      <x:c r="A1" s="37" t="str">
        <x:v>Customer ABX Blueprint</x:v>
      </x:c>
      <x:c r="B1" s="37"/>
      <x:c r="C1" s="37"/>
      <x:c r="D1" s="37"/>
      <x:c r="E1" s="37"/>
      <x:c r="F1" s="37"/>
      <x:c r="G1" s="37"/>
      <x:c r="H1" s="37"/>
      <x:c r="I1" s="37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0" customHeight="1">
      <x:c r="A2" s="39" t="str">
        <x:v>Executive synthesis: use the detailed pillar tabs to approve each cell. Acquisition and expansion run through the same governed stage model.</x:v>
      </x:c>
      <x:c r="B2" s="39"/>
      <x:c r="C2" s="39"/>
      <x:c r="D2" s="39"/>
      <x:c r="E2" s="39"/>
      <x:c r="F2" s="39"/>
      <x:c r="G2" s="39"/>
      <x:c r="H2" s="39"/>
      <x:c r="I2" s="39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0" t="str">
        <x:v>Pillar</x:v>
      </x:c>
      <x:c r="B4" s="40" t="str">
        <x:v>Blueprint decision</x:v>
      </x:c>
      <x:c r="C4" s="40" t="str">
        <x:v>Pre-Pipeline</x:v>
      </x:c>
      <x:c r="D4" s="40" t="str">
        <x:v>Target</x:v>
      </x:c>
      <x:c r="E4" s="40" t="str">
        <x:v>Awareness</x:v>
      </x:c>
      <x:c r="F4" s="40" t="str">
        <x:v>Consideration</x:v>
      </x:c>
      <x:c r="G4" s="40" t="str">
        <x:v>Decision</x:v>
      </x:c>
      <x:c r="H4" s="40" t="str">
        <x:v>Purchase</x:v>
      </x:c>
      <x:c r="I4" s="40" t="str">
        <x:v>Owner / approval</x:v>
      </x:c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64" customHeight="1">
      <x:c r="A5" s="42" t="str">
        <x:v>Alignment</x:v>
      </x:c>
      <x:c r="B5" s="28" t="str">
        <x:v>Stage definition</x:v>
      </x:c>
      <x:c r="C5" s="16" t="str">
        <x:v>Universe built; no outreach eligibility</x:v>
      </x:c>
      <x:c r="D5" s="16" t="str">
        <x:v>ICP fit + ownership + capacity</x:v>
      </x:c>
      <x:c r="E5" s="16" t="str">
        <x:v>Qualified buying-stage evidence</x:v>
      </x:c>
      <x:c r="F5" s="16" t="str">
        <x:v>Active education and multi-person engagement</x:v>
      </x:c>
      <x:c r="G5" s="16" t="str">
        <x:v>Comparison, surge or declared project</x:v>
      </x:c>
      <x:c r="H5" s="16" t="str">
        <x:v>Sales-accepted opportunity</x:v>
      </x:c>
      <x:c r="I5" s="21" t="str">
        <x:v>[OWNER]</x:v>
      </x:c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64" customHeight="1">
      <x:c r="A6" s="42"/>
      <x:c r="B6" s="28" t="str">
        <x:v>Account treatment</x:v>
      </x:c>
      <x:c r="C6" s="16" t="str">
        <x:v>Research / suppress</x:v>
      </x:c>
      <x:c r="D6" s="16" t="str">
        <x:v>1:many / 1:few discovery</x:v>
      </x:c>
      <x:c r="E6" s="16" t="str">
        <x:v>Persona-led awareness</x:v>
      </x:c>
      <x:c r="F6" s="16" t="str">
        <x:v>Cohort experience + nurture</x:v>
      </x:c>
      <x:c r="G6" s="16" t="str">
        <x:v>1:1 board + BDR orchestration</x:v>
      </x:c>
      <x:c r="H6" s="16" t="str">
        <x:v>Deal-room / buying-team enablement</x:v>
      </x:c>
      <x:c r="I6" s="21" t="str">
        <x:v>[APPROVER]</x:v>
      </x:c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64" customHeight="1">
      <x:c r="A7" s="42"/>
      <x:c r="B7" s="28" t="str">
        <x:v>Commercial value</x:v>
      </x:c>
      <x:c r="C7" s="16" t="str">
        <x:v>$0</x:v>
      </x:c>
      <x:c r="D7" s="16" t="str">
        <x:v>Target coverage</x:v>
      </x:c>
      <x:c r="E7" s="16" t="str">
        <x:v>Early value hypothesis</x:v>
      </x:c>
      <x:c r="F7" s="16" t="str">
        <x:v>Opportunity value hypothesis</x:v>
      </x:c>
      <x:c r="G7" s="16" t="str">
        <x:v>CRM opportunity value</x:v>
      </x:c>
      <x:c r="H7" s="16" t="str">
        <x:v>Weighted pipeline / bookings</x:v>
      </x:c>
      <x:c r="I7" s="21" t="str">
        <x:v>[STATUS]</x:v>
      </x:c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64" customHeight="1">
      <x:c r="A9" s="42" t="str">
        <x:v>Experience</x:v>
      </x:c>
      <x:c r="B9" s="28" t="str">
        <x:v>Buyer job</x:v>
      </x:c>
      <x:c r="C9" s="16" t="str">
        <x:v>Identify whether change is relevant</x:v>
      </x:c>
      <x:c r="D9" s="16" t="str">
        <x:v>Recognize priority and risk</x:v>
      </x:c>
      <x:c r="E9" s="16" t="str">
        <x:v>Understand outcomes and approaches</x:v>
      </x:c>
      <x:c r="F9" s="16" t="str">
        <x:v>Build a credible internal case</x:v>
      </x:c>
      <x:c r="G9" s="16" t="str">
        <x:v>Validate fit, proof and implementation</x:v>
      </x:c>
      <x:c r="H9" s="16" t="str">
        <x:v>Align stakeholders and decide</x:v>
      </x:c>
      <x:c r="I9" s="21" t="str">
        <x:v>[OWNER]</x:v>
      </x:c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64" customHeight="1">
      <x:c r="A10" s="42"/>
      <x:c r="B10" s="28" t="str">
        <x:v>Primary experience</x:v>
      </x:c>
      <x:c r="C10" s="16" t="str">
        <x:v>Research brief</x:v>
      </x:c>
      <x:c r="D10" s="16" t="str">
        <x:v>Persona entry experience</x:v>
      </x:c>
      <x:c r="E10" s="16" t="str">
        <x:v>Problem / insight board</x:v>
      </x:c>
      <x:c r="F10" s="16" t="str">
        <x:v>Solution and business-case board</x:v>
      </x:c>
      <x:c r="G10" s="16" t="str">
        <x:v>Account-specific Folloze board</x:v>
      </x:c>
      <x:c r="H10" s="16" t="str">
        <x:v>Champion-forwardable deal experience</x:v>
      </x:c>
      <x:c r="I10" s="21" t="str">
        <x:v>[APPROVER]</x:v>
      </x:c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64" customHeight="1">
      <x:c r="A11" s="42"/>
      <x:c r="B11" s="28" t="str">
        <x:v>Content</x:v>
      </x:c>
      <x:c r="C11" s="16" t="str">
        <x:v>Public research</x:v>
      </x:c>
      <x:c r="D11" s="16" t="str">
        <x:v>POV, benchmark, category education</x:v>
      </x:c>
      <x:c r="E11" s="16" t="str">
        <x:v>Guides, webinars, proof patterns</x:v>
      </x:c>
      <x:c r="F11" s="16" t="str">
        <x:v>Calculator, architecture, use cases</x:v>
      </x:c>
      <x:c r="G11" s="16" t="str">
        <x:v>Customer proof, validation, plan</x:v>
      </x:c>
      <x:c r="H11" s="16" t="str">
        <x:v>Mutual plan, implementation, commercial content</x:v>
      </x:c>
      <x:c r="I11" s="21" t="str">
        <x:v>[STATUS]</x:v>
      </x:c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 ht="64" customHeight="1">
      <x:c r="A13" s="42" t="str">
        <x:v>Engagement</x:v>
      </x:c>
      <x:c r="B13" s="28" t="str">
        <x:v>Primary channels</x:v>
      </x:c>
      <x:c r="C13" s="16" t="str">
        <x:v>6sense research</x:v>
      </x:c>
      <x:c r="D13" s="16" t="str">
        <x:v>6sense + LinkedIn + events</x:v>
      </x:c>
      <x:c r="E13" s="16" t="str">
        <x:v>LinkedIn + Marketo + Folloze</x:v>
      </x:c>
      <x:c r="F13" s="16" t="str">
        <x:v>Folloze + Marketo + BDR</x:v>
      </x:c>
      <x:c r="G13" s="16" t="str">
        <x:v>BDR + Folloze + sales engagement</x:v>
      </x:c>
      <x:c r="H13" s="16" t="str">
        <x:v>Seller-led + Folloze</x:v>
      </x:c>
      <x:c r="I13" s="21" t="str">
        <x:v>[OWNER]</x:v>
      </x:c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 ht="64" customHeight="1">
      <x:c r="A14" s="42"/>
      <x:c r="B14" s="28" t="str">
        <x:v>Safeguard</x:v>
      </x:c>
      <x:c r="C14" s="16" t="str">
        <x:v>No outreach</x:v>
      </x:c>
      <x:c r="D14" s="16" t="str">
        <x:v>No intent-only outreach</x:v>
      </x:c>
      <x:c r="E14" s="16" t="str">
        <x:v>Require fit + behavior</x:v>
      </x:c>
      <x:c r="F14" s="16" t="str">
        <x:v>Require person/account evidence</x:v>
      </x:c>
      <x:c r="G14" s="16" t="str">
        <x:v>24-hour response to verified surge</x:v>
      </x:c>
      <x:c r="H14" s="16" t="str">
        <x:v>Opportunity governance</x:v>
      </x:c>
      <x:c r="I14" s="21" t="str">
        <x:v>[APPROVER]</x:v>
      </x:c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 ht="64" customHeight="1">
      <x:c r="A15" s="42"/>
      <x:c r="B15" s="28" t="str">
        <x:v>CTA</x:v>
      </x:c>
      <x:c r="C15" s="16" t="str">
        <x:v>None</x:v>
      </x:c>
      <x:c r="D15" s="16" t="str">
        <x:v>Explore a priority</x:v>
      </x:c>
      <x:c r="E15" s="16" t="str">
        <x:v>View relevant insight</x:v>
      </x:c>
      <x:c r="F15" s="16" t="str">
        <x:v>Build the case / attend</x:v>
      </x:c>
      <x:c r="G15" s="16" t="str">
        <x:v>Compare / plan / meet</x:v>
      </x:c>
      <x:c r="H15" s="16" t="str">
        <x:v>Advance the mutual plan</x:v>
      </x:c>
      <x:c r="I15" s="21" t="str">
        <x:v>[STATUS]</x:v>
      </x:c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 ht="64" customHeight="1">
      <x:c r="A17" s="42" t="str">
        <x:v>Signals</x:v>
      </x:c>
      <x:c r="B17" s="28" t="str">
        <x:v>Entry rule</x:v>
      </x:c>
      <x:c r="C17" s="16" t="str">
        <x:v>Source completeness</x:v>
      </x:c>
      <x:c r="D17" s="16" t="str">
        <x:v>ICP + owner + capacity</x:v>
      </x:c>
      <x:c r="E17" s="16" t="str">
        <x:v>6sense stage or verified engagement</x:v>
      </x:c>
      <x:c r="F17" s="16" t="str">
        <x:v>Folloze depth + multi-person activity</x:v>
      </x:c>
      <x:c r="G17" s="16" t="str">
        <x:v>Surge + declared interest / meeting</x:v>
      </x:c>
      <x:c r="H17" s="16" t="str">
        <x:v>Sales accepts and creates opportunity</x:v>
      </x:c>
      <x:c r="I17" s="21" t="str">
        <x:v>[OWNER]</x:v>
      </x:c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 ht="64" customHeight="1">
      <x:c r="A18" s="42"/>
      <x:c r="B18" s="28" t="str">
        <x:v>Exit / downgrade</x:v>
      </x:c>
      <x:c r="C18" s="16" t="str">
        <x:v>Invalid or duplicate</x:v>
      </x:c>
      <x:c r="D18" s="16" t="str">
        <x:v>No capacity / ownership</x:v>
      </x:c>
      <x:c r="E18" s="16" t="str">
        <x:v>Signal decay or disqualification</x:v>
      </x:c>
      <x:c r="F18" s="16" t="str">
        <x:v>No activity in defined window</x:v>
      </x:c>
      <x:c r="G18" s="16" t="str">
        <x:v>No response, lost timing or invalid signal</x:v>
      </x:c>
      <x:c r="H18" s="16" t="str">
        <x:v>Closed / recycled / disqualified</x:v>
      </x:c>
      <x:c r="I18" s="21" t="str">
        <x:v>[APPROVER]</x:v>
      </x:c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 ht="64" customHeight="1">
      <x:c r="A19" s="42"/>
      <x:c r="B19" s="28" t="str">
        <x:v>Required outputs</x:v>
      </x:c>
      <x:c r="C19" s="16" t="str">
        <x:v>Source register</x:v>
      </x:c>
      <x:c r="D19" s="16" t="str">
        <x:v>6sense audience + Salesforce owner</x:v>
      </x:c>
      <x:c r="E19" s="16" t="str">
        <x:v>Marketo/LinkedIn membership</x:v>
      </x:c>
      <x:c r="F19" s="16" t="str">
        <x:v>Folloze account/person engagement</x:v>
      </x:c>
      <x:c r="G19" s="16" t="str">
        <x:v>24h task + sequence + CRM activity</x:v>
      </x:c>
      <x:c r="H19" s="16" t="str">
        <x:v>Stage, amount, next step, contact roles</x:v>
      </x:c>
      <x:c r="I19" s="21" t="str">
        <x:v>[STATUS]</x:v>
      </x:c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mergeCells>
    <x:mergeCell ref="A1:I1"/>
    <x:mergeCell ref="A2:I2"/>
    <x:mergeCell ref="A5:A7"/>
    <x:mergeCell ref="A9:A11"/>
    <x:mergeCell ref="A13:A15"/>
    <x:mergeCell ref="A17:A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34" customHeight="1">
      <x:c r="A1" s="37" t="str">
        <x:v>Alignment: ABX Blueprint</x:v>
      </x:c>
      <x:c r="B1" s="37"/>
      <x:c r="C1" s="37"/>
      <x:c r="D1" s="37"/>
      <x:c r="E1" s="37"/>
      <x:c r="F1" s="37"/>
      <x:c r="G1" s="37"/>
      <x:c r="H1" s="37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0" customHeight="1">
      <x:c r="A2" s="39" t="str">
        <x:v>Establish shared stages, ownership, acquisition/expansion treatment, value language and capacity gates.</x:v>
      </x:c>
      <x:c r="B2" s="39"/>
      <x:c r="C2" s="39"/>
      <x:c r="D2" s="39"/>
      <x:c r="E2" s="39"/>
      <x:c r="F2" s="39"/>
      <x:c r="G2" s="39"/>
      <x:c r="H2" s="39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0" t="str">
        <x:v>Alignment</x:v>
      </x:c>
      <x:c r="B4" s="40" t="str">
        <x:v>Blueprint decision</x:v>
      </x:c>
      <x:c r="C4" s="40" t="str">
        <x:v>Pre-Pipeline</x:v>
      </x:c>
      <x:c r="D4" s="40" t="str">
        <x:v>Target</x:v>
      </x:c>
      <x:c r="E4" s="40" t="str">
        <x:v>Awareness</x:v>
      </x:c>
      <x:c r="F4" s="40" t="str">
        <x:v>Consideration</x:v>
      </x:c>
      <x:c r="G4" s="40" t="str">
        <x:v>Decision</x:v>
      </x:c>
      <x:c r="H4" s="40" t="str">
        <x:v>Purchase</x:v>
      </x:c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62" customHeight="1">
      <x:c r="A5" s="42" t="str">
        <x:v>Alignment</x:v>
      </x:c>
      <x:c r="B5" s="28" t="str">
        <x:v>Stage definition</x:v>
      </x:c>
      <x:c r="C5" s="16" t="str">
        <x:v>Universe not yet approved</x:v>
      </x:c>
      <x:c r="D5" s="16" t="str">
        <x:v>ICP fit, owner and delivery capacity confirmed</x:v>
      </x:c>
      <x:c r="E5" s="16" t="str">
        <x:v>6sense awareness/qualified stage or verified topic engagement</x:v>
      </x:c>
      <x:c r="F5" s="16" t="str">
        <x:v>Learning across at least two relevant interactions or stakeholders</x:v>
      </x:c>
      <x:c r="G5" s="16" t="str">
        <x:v>Verified surge, declared project, meeting or sales-confirmed need</x:v>
      </x:c>
      <x:c r="H5" s="16" t="str">
        <x:v>Sales accepts and creates/advances opportunity</x:v>
      </x:c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62" customHeight="1">
      <x:c r="A6" s="42"/>
      <x:c r="B6" s="28" t="str">
        <x:v>Account volume guide</x:v>
      </x:c>
      <x:c r="C6" s="16" t="str">
        <x:v>Source universe</x:v>
      </x:c>
      <x:c r="D6" s="16" t="str">
        <x:v>500 accounts</x:v>
      </x:c>
      <x:c r="E6" s="16" t="str">
        <x:v>60–80% of target pool</x:v>
      </x:c>
      <x:c r="F6" s="16" t="str">
        <x:v>25–45% of target pool</x:v>
      </x:c>
      <x:c r="G6" s="16" t="str">
        <x:v>10–25% of target pool</x:v>
      </x:c>
      <x:c r="H6" s="16" t="str">
        <x:v>100 opportunities over 12 months</x:v>
      </x:c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62" customHeight="1">
      <x:c r="A7" s="42"/>
      <x:c r="B7" s="28" t="str">
        <x:v>GTM team involvement</x:v>
      </x:c>
      <x:c r="C7" s="16" t="str">
        <x:v>Ops + marketing</x:v>
      </x:c>
      <x:c r="D7" s="16" t="str">
        <x:v>Marketing + account owners</x:v>
      </x:c>
      <x:c r="E7" s="16" t="str">
        <x:v>Marketing + BDR</x:v>
      </x:c>
      <x:c r="F7" s="16" t="str">
        <x:v>Marketing + BDR + seller</x:v>
      </x:c>
      <x:c r="G7" s="16" t="str">
        <x:v>Seller + BDR + marketing</x:v>
      </x:c>
      <x:c r="H7" s="16" t="str">
        <x:v>Seller + solution + CS/exec as needed</x:v>
      </x:c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62" customHeight="1">
      <x:c r="A8" s="42"/>
      <x:c r="B8" s="28" t="str">
        <x:v>Deployment model</x:v>
      </x:c>
      <x:c r="C8" s="16" t="str">
        <x:v>Research</x:v>
      </x:c>
      <x:c r="D8" s="16" t="str">
        <x:v>1:many / 1:few</x:v>
      </x:c>
      <x:c r="E8" s="16" t="str">
        <x:v>1:few</x:v>
      </x:c>
      <x:c r="F8" s="16" t="str">
        <x:v>1:few / 1:1</x:v>
      </x:c>
      <x:c r="G8" s="16" t="str">
        <x:v>1:1</x:v>
      </x:c>
      <x:c r="H8" s="16" t="str">
        <x:v>1:1 buying-team</x:v>
      </x:c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62" customHeight="1">
      <x:c r="A9" s="42"/>
      <x:c r="B9" s="28" t="str">
        <x:v>Stage goal</x:v>
      </x:c>
      <x:c r="C9" s="16" t="str">
        <x:v>Establish trustworthy inputs</x:v>
      </x:c>
      <x:c r="D9" s="16" t="str">
        <x:v>Earn relevant discovery</x:v>
      </x:c>
      <x:c r="E9" s="16" t="str">
        <x:v>Create recognition and first-party engagement</x:v>
      </x:c>
      <x:c r="F9" s="16" t="str">
        <x:v>Build problem/solution consensus</x:v>
      </x:c>
      <x:c r="G9" s="16" t="str">
        <x:v>Convert verified demand into a meeting and opportunity</x:v>
      </x:c>
      <x:c r="H9" s="16" t="str">
        <x:v>Accelerate decision and protect value</x:v>
      </x:c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62" customHeight="1">
      <x:c r="A10" s="42"/>
      <x:c r="B10" s="28" t="str">
        <x:v>Acquisition treatment</x:v>
      </x:c>
      <x:c r="C10" s="16" t="str">
        <x:v>Net-new research</x:v>
      </x:c>
      <x:c r="D10" s="16" t="str">
        <x:v>Category/problem discovery</x:v>
      </x:c>
      <x:c r="E10" s="16" t="str">
        <x:v>Persona-led education</x:v>
      </x:c>
      <x:c r="F10" s="16" t="str">
        <x:v>Cohort business case</x:v>
      </x:c>
      <x:c r="G10" s="16" t="str">
        <x:v>Account-specific orchestration</x:v>
      </x:c>
      <x:c r="H10" s="16" t="str">
        <x:v>New-logo opportunity enablement</x:v>
      </x:c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62" customHeight="1">
      <x:c r="A11" s="42"/>
      <x:c r="B11" s="28" t="str">
        <x:v>Expansion treatment</x:v>
      </x:c>
      <x:c r="C11" s="16" t="str">
        <x:v>Install-base and white-space audit</x:v>
      </x:c>
      <x:c r="D11" s="16" t="str">
        <x:v>Champion and adjacent-team discovery</x:v>
      </x:c>
      <x:c r="E11" s="16" t="str">
        <x:v>Use-case expansion education</x:v>
      </x:c>
      <x:c r="F11" s="16" t="str">
        <x:v>White-space business case</x:v>
      </x:c>
      <x:c r="G11" s="16" t="str">
        <x:v>Champion-forwardable account board</x:v>
      </x:c>
      <x:c r="H11" s="16" t="str">
        <x:v>Expansion opportunity enablement</x:v>
      </x:c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 ht="62" customHeight="1">
      <x:c r="A12" s="42"/>
      <x:c r="B12" s="28" t="str">
        <x:v>Capacity gate</x:v>
      </x:c>
      <x:c r="C12" s="16" t="str">
        <x:v>Required source fields</x:v>
      </x:c>
      <x:c r="D12" s="16" t="str">
        <x:v>Geography, density, timing, owner</x:v>
      </x:c>
      <x:c r="E12" s="16" t="str">
        <x:v>BDR and localization readiness</x:v>
      </x:c>
      <x:c r="F12" s="16" t="str">
        <x:v>Seller availability and content coverage</x:v>
      </x:c>
      <x:c r="G12" s="16" t="str">
        <x:v>24-hour response capacity</x:v>
      </x:c>
      <x:c r="H12" s="16" t="str">
        <x:v>Implementation and delivery readiness</x:v>
      </x:c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mergeCells>
    <x:mergeCell ref="A1:H1"/>
    <x:mergeCell ref="A2:H2"/>
    <x:mergeCell ref="A5:A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34" customHeight="1">
      <x:c r="A1" s="37" t="str">
        <x:v>Experience: ABX Blueprint</x:v>
      </x:c>
      <x:c r="B1" s="37"/>
      <x:c r="C1" s="37"/>
      <x:c r="D1" s="37"/>
      <x:c r="E1" s="37"/>
      <x:c r="F1" s="37"/>
      <x:c r="G1" s="37"/>
      <x:c r="H1" s="37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0" customHeight="1">
      <x:c r="A2" s="39" t="str">
        <x:v>Define governed Folloze experiences, personas, content and CTAs for each buying stage.</x:v>
      </x:c>
      <x:c r="B2" s="39"/>
      <x:c r="C2" s="39"/>
      <x:c r="D2" s="39"/>
      <x:c r="E2" s="39"/>
      <x:c r="F2" s="39"/>
      <x:c r="G2" s="39"/>
      <x:c r="H2" s="39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0" t="str">
        <x:v>Experience</x:v>
      </x:c>
      <x:c r="B4" s="40" t="str">
        <x:v>Blueprint decision</x:v>
      </x:c>
      <x:c r="C4" s="40" t="str">
        <x:v>Pre-Pipeline</x:v>
      </x:c>
      <x:c r="D4" s="40" t="str">
        <x:v>Target</x:v>
      </x:c>
      <x:c r="E4" s="40" t="str">
        <x:v>Awareness</x:v>
      </x:c>
      <x:c r="F4" s="40" t="str">
        <x:v>Consideration</x:v>
      </x:c>
      <x:c r="G4" s="40" t="str">
        <x:v>Decision</x:v>
      </x:c>
      <x:c r="H4" s="40" t="str">
        <x:v>Purchase</x:v>
      </x:c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62" customHeight="1">
      <x:c r="A5" s="42" t="str">
        <x:v>Experience</x:v>
      </x:c>
      <x:c r="B5" s="28" t="str">
        <x:v>Message approach</x:v>
      </x:c>
      <x:c r="C5" s="16" t="str">
        <x:v>Research-led</x:v>
      </x:c>
      <x:c r="D5" s="16" t="str">
        <x:v>Category/problem awareness</x:v>
      </x:c>
      <x:c r="E5" s="16" t="str">
        <x:v>Outcome and risk education</x:v>
      </x:c>
      <x:c r="F5" s="16" t="str">
        <x:v>Business-case and solution framing</x:v>
      </x:c>
      <x:c r="G5" s="16" t="str">
        <x:v>Account-specific validation</x:v>
      </x:c>
      <x:c r="H5" s="16" t="str">
        <x:v>Decision enablement</x:v>
      </x:c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62" customHeight="1">
      <x:c r="A6" s="42"/>
      <x:c r="B6" s="28" t="str">
        <x:v>Primary personas</x:v>
      </x:c>
      <x:c r="C6" s="16" t="str">
        <x:v>Market / account research</x:v>
      </x:c>
      <x:c r="D6" s="16" t="str">
        <x:v>Economic, technical, operational, champion</x:v>
      </x:c>
      <x:c r="E6" s="16" t="str">
        <x:v>Role-specific priority owners</x:v>
      </x:c>
      <x:c r="F6" s="16" t="str">
        <x:v>Buying committee and influencers</x:v>
      </x:c>
      <x:c r="G6" s="16" t="str">
        <x:v>Economic buyer, champion, technical validator</x:v>
      </x:c>
      <x:c r="H6" s="16" t="str">
        <x:v>Full buying group</x:v>
      </x:c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62" customHeight="1">
      <x:c r="A7" s="42"/>
      <x:c r="B7" s="28" t="str">
        <x:v>Buyer job</x:v>
      </x:c>
      <x:c r="C7" s="16" t="str">
        <x:v>Determine relevance</x:v>
      </x:c>
      <x:c r="D7" s="16" t="str">
        <x:v>Recognize the priority</x:v>
      </x:c>
      <x:c r="E7" s="16" t="str">
        <x:v>Understand implications</x:v>
      </x:c>
      <x:c r="F7" s="16" t="str">
        <x:v>Build internal consensus</x:v>
      </x:c>
      <x:c r="G7" s="16" t="str">
        <x:v>Validate vendor and path</x:v>
      </x:c>
      <x:c r="H7" s="16" t="str">
        <x:v>Make and implement decision</x:v>
      </x:c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62" customHeight="1">
      <x:c r="A8" s="42"/>
      <x:c r="B8" s="28" t="str">
        <x:v>Folloze experience</x:v>
      </x:c>
      <x:c r="C8" s="16" t="str">
        <x:v>None / research brief</x:v>
      </x:c>
      <x:c r="D8" s="16" t="str">
        <x:v>Persona entry page</x:v>
      </x:c>
      <x:c r="E8" s="16" t="str">
        <x:v>Role or problem board</x:v>
      </x:c>
      <x:c r="F8" s="16" t="str">
        <x:v>Cohort solution board</x:v>
      </x:c>
      <x:c r="G8" s="16" t="str">
        <x:v>1:1 account board</x:v>
      </x:c>
      <x:c r="H8" s="16" t="str">
        <x:v>Champion-forwardable deal room</x:v>
      </x:c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62" customHeight="1">
      <x:c r="A9" s="42"/>
      <x:c r="B9" s="28" t="str">
        <x:v>Content types</x:v>
      </x:c>
      <x:c r="C9" s="16" t="str">
        <x:v>Public research</x:v>
      </x:c>
      <x:c r="D9" s="16" t="str">
        <x:v>POV, benchmark, AEO/GEO answer content</x:v>
      </x:c>
      <x:c r="E9" s="16" t="str">
        <x:v>Guides, webinars, community insight</x:v>
      </x:c>
      <x:c r="F9" s="16" t="str">
        <x:v>Use cases, calculator, architecture</x:v>
      </x:c>
      <x:c r="G9" s="16" t="str">
        <x:v>Customer proof, validation, implementation plan</x:v>
      </x:c>
      <x:c r="H9" s="16" t="str">
        <x:v>Mutual plan, commercial and onboarding assets</x:v>
      </x:c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62" customHeight="1">
      <x:c r="A10" s="42"/>
      <x:c r="B10" s="28" t="str">
        <x:v>Personalization</x:v>
      </x:c>
      <x:c r="C10" s="16" t="str">
        <x:v>None</x:v>
      </x:c>
      <x:c r="D10" s="16" t="str">
        <x:v>Segment + persona</x:v>
      </x:c>
      <x:c r="E10" s="16" t="str">
        <x:v>Segment + persona + topic</x:v>
      </x:c>
      <x:c r="F10" s="16" t="str">
        <x:v>Cohort + use case</x:v>
      </x:c>
      <x:c r="G10" s="16" t="str">
        <x:v>Account + buying group + evidence</x:v>
      </x:c>
      <x:c r="H10" s="16" t="str">
        <x:v>Opportunity + stakeholder + decision</x:v>
      </x:c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62" customHeight="1">
      <x:c r="A11" s="42"/>
      <x:c r="B11" s="28" t="str">
        <x:v>CTA</x:v>
      </x:c>
      <x:c r="C11" s="16" t="str">
        <x:v>None</x:v>
      </x:c>
      <x:c r="D11" s="16" t="str">
        <x:v>Explore</x:v>
      </x:c>
      <x:c r="E11" s="16" t="str">
        <x:v>Learn / assess</x:v>
      </x:c>
      <x:c r="F11" s="16" t="str">
        <x:v>Build case / attend</x:v>
      </x:c>
      <x:c r="G11" s="16" t="str">
        <x:v>Compare / plan / meet</x:v>
      </x:c>
      <x:c r="H11" s="16" t="str">
        <x:v>Advance mutual plan</x:v>
      </x:c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 ht="62" customHeight="1">
      <x:c r="A12" s="42"/>
      <x:c r="B12" s="28" t="str">
        <x:v>Governance</x:v>
      </x:c>
      <x:c r="C12" s="16" t="str">
        <x:v>Approved public sources</x:v>
      </x:c>
      <x:c r="D12" s="16" t="str">
        <x:v>Approved claims and taxonomy</x:v>
      </x:c>
      <x:c r="E12" s="16" t="str">
        <x:v>Modular content rules</x:v>
      </x:c>
      <x:c r="F12" s="16" t="str">
        <x:v>Cohort QA and consent</x:v>
      </x:c>
      <x:c r="G12" s="16" t="str">
        <x:v>1:1 factual review</x:v>
      </x:c>
      <x:c r="H12" s="16" t="str">
        <x:v>Buyer-safe opportunity review</x:v>
      </x:c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mergeCells>
    <x:mergeCell ref="A1:H1"/>
    <x:mergeCell ref="A2:H2"/>
    <x:mergeCell ref="A5:A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8" hidden="0" customWidth="1"/>
    <x:col min="7" max="7" width="26" hidden="0" customWidth="1"/>
  </x:cols>
  <x:sheetData>
    <x:row r="1" ht="34" customHeight="1">
      <x:c r="A1" s="37" t="str">
        <x:v>Engagement: Precision GTM Plays</x:v>
      </x:c>
      <x:c r="B1" s="37"/>
      <x:c r="C1" s="37"/>
      <x:c r="D1" s="37"/>
      <x:c r="E1" s="37"/>
      <x:c r="F1" s="37"/>
      <x:c r="G1" s="37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0" customHeight="1">
      <x:c r="A2" s="39" t="str">
        <x:v>Channel roles by stage. Pink cells indicate active execution; white cells are intentionally limited or suppressed.</x:v>
      </x:c>
      <x:c r="B2" s="39"/>
      <x:c r="C2" s="39"/>
      <x:c r="D2" s="39"/>
      <x:c r="E2" s="39"/>
      <x:c r="F2" s="39"/>
      <x:c r="G2" s="39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0" t="str">
        <x:v>Channel / play</x:v>
      </x:c>
      <x:c r="B4" s="40" t="str">
        <x:v>Pre-Pipeline</x:v>
      </x:c>
      <x:c r="C4" s="40" t="str">
        <x:v>Target</x:v>
      </x:c>
      <x:c r="D4" s="40" t="str">
        <x:v>Awareness</x:v>
      </x:c>
      <x:c r="E4" s="40" t="str">
        <x:v>Consideration</x:v>
      </x:c>
      <x:c r="F4" s="40" t="str">
        <x:v>Decision</x:v>
      </x:c>
      <x:c r="G4" s="40" t="str">
        <x:v>Purchase</x:v>
      </x:c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28" t="str">
        <x:v>6sense orchestration</x:v>
      </x:c>
      <x:c r="B5" s="16" t="str">
        <x:v>Research</x:v>
      </x:c>
      <x:c r="C5" s="29" t="str">
        <x:v>Primary</x:v>
      </x:c>
      <x:c r="D5" s="29" t="str">
        <x:v>Primary</x:v>
      </x:c>
      <x:c r="E5" s="29" t="str">
        <x:v>Primary</x:v>
      </x:c>
      <x:c r="F5" s="29" t="str">
        <x:v>Primary</x:v>
      </x:c>
      <x:c r="G5" s="16" t="str">
        <x:v>Signal/measure</x:v>
      </x:c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28" t="str">
        <x:v>LinkedIn paid / discovery</x:v>
      </x:c>
      <x:c r="B6" s="16" t="str">
        <x:v>—</x:v>
      </x:c>
      <x:c r="C6" s="29" t="str">
        <x:v>Primary</x:v>
      </x:c>
      <x:c r="D6" s="29" t="str">
        <x:v>Primary</x:v>
      </x:c>
      <x:c r="E6" s="29" t="str">
        <x:v>Assist</x:v>
      </x:c>
      <x:c r="F6" s="29" t="str">
        <x:v>Retarget verified buying group</x:v>
      </x:c>
      <x:c r="G6" s="16" t="str">
        <x:v>—</x:v>
      </x:c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28" t="str">
        <x:v>Marketo nurture</x:v>
      </x:c>
      <x:c r="B7" s="16" t="str">
        <x:v>—</x:v>
      </x:c>
      <x:c r="C7" s="29" t="str">
        <x:v>Light</x:v>
      </x:c>
      <x:c r="D7" s="29" t="str">
        <x:v>Primary</x:v>
      </x:c>
      <x:c r="E7" s="29" t="str">
        <x:v>Primary</x:v>
      </x:c>
      <x:c r="F7" s="29" t="str">
        <x:v>Triggered</x:v>
      </x:c>
      <x:c r="G7" s="29" t="str">
        <x:v>Opportunity comms only</x:v>
      </x:c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28" t="str">
        <x:v>Folloze experiences</x:v>
      </x:c>
      <x:c r="B8" s="16" t="str">
        <x:v>—</x:v>
      </x:c>
      <x:c r="C8" s="29" t="str">
        <x:v>Persona entry</x:v>
      </x:c>
      <x:c r="D8" s="29" t="str">
        <x:v>Problem board</x:v>
      </x:c>
      <x:c r="E8" s="29" t="str">
        <x:v>Cohort board</x:v>
      </x:c>
      <x:c r="F8" s="29" t="str">
        <x:v>1:1 account board</x:v>
      </x:c>
      <x:c r="G8" s="29" t="str">
        <x:v>Deal room</x:v>
      </x:c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28" t="str">
        <x:v>BDR / Sales engagement</x:v>
      </x:c>
      <x:c r="B9" s="16" t="str">
        <x:v>—</x:v>
      </x:c>
      <x:c r="C9" s="16" t="str">
        <x:v>Research only</x:v>
      </x:c>
      <x:c r="D9" s="29" t="str">
        <x:v>Selective</x:v>
      </x:c>
      <x:c r="E9" s="29" t="str">
        <x:v>Primary</x:v>
      </x:c>
      <x:c r="F9" s="29" t="str">
        <x:v>24-hour surge response</x:v>
      </x:c>
      <x:c r="G9" s="29" t="str">
        <x:v>Seller-led</x:v>
      </x:c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28" t="str">
        <x:v>Events / webinars</x:v>
      </x:c>
      <x:c r="B10" s="16" t="str">
        <x:v>Research</x:v>
      </x:c>
      <x:c r="C10" s="29" t="str">
        <x:v>Discovery</x:v>
      </x:c>
      <x:c r="D10" s="29" t="str">
        <x:v>Primary</x:v>
      </x:c>
      <x:c r="E10" s="29" t="str">
        <x:v>Primary</x:v>
      </x:c>
      <x:c r="F10" s="29" t="str">
        <x:v>Executive / workshop</x:v>
      </x:c>
      <x:c r="G10" s="29" t="str">
        <x:v>Customer proof</x:v>
      </x:c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28" t="str">
        <x:v>AEO / GEO / community</x:v>
      </x:c>
      <x:c r="B11" s="29" t="str">
        <x:v>Primary discovery</x:v>
      </x:c>
      <x:c r="C11" s="29" t="str">
        <x:v>Primary</x:v>
      </x:c>
      <x:c r="D11" s="29" t="str">
        <x:v>Primary</x:v>
      </x:c>
      <x:c r="E11" s="29" t="str">
        <x:v>Assist</x:v>
      </x:c>
      <x:c r="F11" s="29" t="str">
        <x:v>Evidence source</x:v>
      </x:c>
      <x:c r="G11" s="29" t="str">
        <x:v>Champion sharing</x:v>
      </x:c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28" t="str">
        <x:v>Direct mail / executive</x:v>
      </x:c>
      <x:c r="B12" s="16" t="str">
        <x:v>—</x:v>
      </x:c>
      <x:c r="C12" s="16" t="str">
        <x:v>—</x:v>
      </x:c>
      <x:c r="D12" s="16" t="str">
        <x:v>—</x:v>
      </x:c>
      <x:c r="E12" s="29" t="str">
        <x:v>Selective</x:v>
      </x:c>
      <x:c r="F12" s="29" t="str">
        <x:v>Selective</x:v>
      </x:c>
      <x:c r="G12" s="29" t="str">
        <x:v>Selective</x:v>
      </x:c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28" t="str">
        <x:v>Partner / ecosystem</x:v>
      </x:c>
      <x:c r="B13" s="16" t="str">
        <x:v>Research</x:v>
      </x:c>
      <x:c r="C13" s="29" t="str">
        <x:v>Discovery</x:v>
      </x:c>
      <x:c r="D13" s="29" t="str">
        <x:v>Assist</x:v>
      </x:c>
      <x:c r="E13" s="29" t="str">
        <x:v>Primary where relevant</x:v>
      </x:c>
      <x:c r="F13" s="29" t="str">
        <x:v>Validation</x:v>
      </x:c>
      <x:c r="G13" s="29" t="str">
        <x:v>Delivery support</x:v>
      </x:c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 ht="24" customHeight="1">
      <x:c r="A16" s="41" t="str">
        <x:v>Guardrails</x:v>
      </x:c>
      <x:c r="B16" s="41"/>
      <x:c r="C16" s="41"/>
      <x:c r="D16" s="41"/>
      <x:c r="E16" s="41"/>
      <x:c r="F16" s="41"/>
      <x:c r="G16" s="41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16" t="str">
        <x:v>Rule</x:v>
      </x:c>
      <x:c r="B17" s="16" t="str">
        <x:v>Never route intent alone</x:v>
      </x:c>
      <x:c r="C17" s="16" t="str">
        <x:v>Require ICP and ownership</x:v>
      </x:c>
      <x:c r="D17" s="16" t="str">
        <x:v>Use person + account evidence</x:v>
      </x:c>
      <x:c r="E17" s="16" t="str">
        <x:v>Honor suppression and consent</x:v>
      </x:c>
      <x:c r="F17" s="16" t="str">
        <x:v>Check geography/capacity</x:v>
      </x:c>
      <x:c r="G17" s="16" t="str">
        <x:v>Record rationale</x:v>
      </x:c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16" t="str">
        <x:v>Buyer discovery</x:v>
      </x:c>
      <x:c r="B18" s="16" t="str">
        <x:v>6sense</x:v>
      </x:c>
      <x:c r="C18" s="16" t="str">
        <x:v>LinkedIn</x:v>
      </x:c>
      <x:c r="D18" s="16" t="str">
        <x:v>Marketo</x:v>
      </x:c>
      <x:c r="E18" s="16" t="str">
        <x:v>BDRs</x:v>
      </x:c>
      <x:c r="F18" s="16" t="str">
        <x:v>Events</x:v>
      </x:c>
      <x:c r="G18" s="16" t="str">
        <x:v>Folloze</x:v>
      </x:c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16" t="str">
        <x:v>Website role</x:v>
      </x:c>
      <x:c r="B19" s="16" t="str">
        <x:v>Not a required late-stage validation gate</x:v>
      </x:c>
      <x:c r="C19" s="16" t="str">
        <x:v>Use only as supporting evidence</x:v>
      </x:c>
      <x:c r="D19" s="16" t="str">
        <x:v>Do not delay routing</x:v>
      </x:c>
      <x:c r="E19" s="16" t="str">
        <x:v>Do not substitute for Folloze engagement</x:v>
      </x:c>
      <x:c r="F19" s="16" t="str">
        <x:v>—</x:v>
      </x:c>
      <x:c r="G19" s="16" t="str">
        <x:v>—</x:v>
      </x:c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16" t="str">
        <x:v>Response SLA</x:v>
      </x:c>
      <x:c r="B20" s="16" t="str">
        <x:v>No outreach</x:v>
      </x:c>
      <x:c r="C20" s="16" t="str">
        <x:v>Planned</x:v>
      </x:c>
      <x:c r="D20" s="16" t="str">
        <x:v>Within nurture cadence</x:v>
      </x:c>
      <x:c r="E20" s="16" t="str">
        <x:v>Within operating window</x:v>
      </x:c>
      <x:c r="F20" s="16" t="str">
        <x:v>24 hours for verified surge</x:v>
      </x:c>
      <x:c r="G20" s="16" t="str">
        <x:v>Opportunity cadence</x:v>
      </x:c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mergeCells>
    <x:mergeCell ref="A1:G1"/>
    <x:mergeCell ref="A2:G2"/>
    <x:mergeCell ref="A16:G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29" hidden="0" customWidth="1"/>
    <x:col min="4" max="4" width="29" hidden="0" customWidth="1"/>
    <x:col min="5" max="5" width="31" hidden="0" customWidth="1"/>
    <x:col min="6" max="6" width="31" hidden="0" customWidth="1"/>
    <x:col min="7" max="7" width="24" hidden="0" customWidth="1"/>
  </x:cols>
  <x:sheetData>
    <x:row r="1" ht="34" customHeight="1">
      <x:c r="A1" s="37" t="str">
        <x:v>Signals, Treatments and Routing</x:v>
      </x:c>
      <x:c r="B1" s="37"/>
      <x:c r="C1" s="37"/>
      <x:c r="D1" s="37"/>
      <x:c r="E1" s="37"/>
      <x:c r="F1" s="37"/>
      <x:c r="G1" s="37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0" customHeight="1">
      <x:c r="A2" s="39" t="str">
        <x:v>Prescriptive upgrade/downgrade criteria and required platform outputs. Replace thresholds only after the workshop approves definitions and capacity.</x:v>
      </x:c>
      <x:c r="B2" s="39"/>
      <x:c r="C2" s="39"/>
      <x:c r="D2" s="39"/>
      <x:c r="E2" s="39"/>
      <x:c r="F2" s="39"/>
      <x:c r="G2" s="39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0" t="str">
        <x:v>Treatment</x:v>
      </x:c>
      <x:c r="B4" s="40" t="str">
        <x:v>Upgrade / entry criteria</x:v>
      </x:c>
      <x:c r="C4" s="40" t="str">
        <x:v>Downgrade / exit criteria</x:v>
      </x:c>
      <x:c r="D4" s="40" t="str">
        <x:v>6sense output</x:v>
      </x:c>
      <x:c r="E4" s="40" t="str">
        <x:v>Folloze output</x:v>
      </x:c>
      <x:c r="F4" s="40" t="str">
        <x:v>CRM / MAP output</x:v>
      </x:c>
      <x:c r="G4" s="40" t="str">
        <x:v>Human action + SLA</x:v>
      </x:c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88" customHeight="1">
      <x:c r="A5" s="16" t="str">
        <x:v>Target</x:v>
      </x:c>
      <x:c r="B5" s="16" t="str">
        <x:v>ICP fit; owner; capacity; not suppressed</x:v>
      </x:c>
      <x:c r="C5" s="16" t="str">
        <x:v>Invalid, duplicate, no owner/capacity</x:v>
      </x:c>
      <x:c r="D5" s="16" t="str">
        <x:v>Target audience; buying stage; topics</x:v>
      </x:c>
      <x:c r="E5" s="16" t="str">
        <x:v>Optional entry experience</x:v>
      </x:c>
      <x:c r="F5" s="16" t="str">
        <x:v>Account status + campaign membership</x:v>
      </x:c>
      <x:c r="G5" s="16" t="str">
        <x:v>No cold intent outreach</x:v>
      </x:c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88" customHeight="1">
      <x:c r="A6" s="16" t="str">
        <x:v>Awareness</x:v>
      </x:c>
      <x:c r="B6" s="16" t="str">
        <x:v>6sense Awareness/Qualified OR verified ad/event/content response; ICP remains valid</x:v>
      </x:c>
      <x:c r="C6" s="16" t="str">
        <x:v>30 days no corroborating activity OR disqualification</x:v>
      </x:c>
      <x:c r="D6" s="16" t="str">
        <x:v>Stage, topics, surge level, persona gap</x:v>
      </x:c>
      <x:c r="E6" s="16" t="str">
        <x:v>Known/anonymous account visit and content interest</x:v>
      </x:c>
      <x:c r="F6" s="16" t="str">
        <x:v>Marketo nurture + Salesforce visibility</x:v>
      </x:c>
      <x:c r="G6" s="16" t="str">
        <x:v>Monitor; persona nurture</x:v>
      </x:c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88" customHeight="1">
      <x:c r="A7" s="16" t="str">
        <x:v>Consideration</x:v>
      </x:c>
      <x:c r="B7" s="16" t="str">
        <x:v>2+ meaningful Folloze interactions in 14 days OR 2+ people engaged OR high-fit event follow-up</x:v>
      </x:c>
      <x:c r="C7" s="16" t="str">
        <x:v>21 days no activity, stakeholder loss or timing invalid</x:v>
      </x:c>
      <x:c r="D7" s="16" t="str">
        <x:v>Cohort + next-best audience</x:v>
      </x:c>
      <x:c r="E7" s="16" t="str">
        <x:v>Account depth, people, assets, recency</x:v>
      </x:c>
      <x:c r="F7" s="16" t="str">
        <x:v>Marketo cohort + seller alert</x:v>
      </x:c>
      <x:c r="G7" s="16" t="str">
        <x:v>BDR research within 1 business day</x:v>
      </x:c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88" customHeight="1">
      <x:c r="A8" s="16" t="str">
        <x:v>Decision</x:v>
      </x:c>
      <x:c r="B8" s="16" t="str">
        <x:v>Verified 6sense surge plus Folloze depth; declared project; meeting request; or sales-confirmed need</x:v>
      </x:c>
      <x:c r="C8" s="16" t="str">
        <x:v>7 business days no validation, false positive, no capacity, or explicit no-timing</x:v>
      </x:c>
      <x:c r="D8" s="16" t="str">
        <x:v>1:1 orchestration audience + reason</x:v>
      </x:c>
      <x:c r="E8" s="16" t="str">
        <x:v>1:1 board and content recommendations</x:v>
      </x:c>
      <x:c r="F8" s="16" t="str">
        <x:v>CRM task/activity + Outreach/Salesloft enrollment</x:v>
      </x:c>
      <x:c r="G8" s="16" t="str">
        <x:v>Personal response within 24 hours</x:v>
      </x:c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88" customHeight="1">
      <x:c r="A9" s="16" t="str">
        <x:v>Purchase / Opportunity</x:v>
      </x:c>
      <x:c r="B9" s="16" t="str">
        <x:v>Sales accepts; opportunity created with amount, stage, next step and contact roles</x:v>
      </x:c>
      <x:c r="C9" s="16" t="str">
        <x:v>Closed-lost, recycled or disqualified with reason</x:v>
      </x:c>
      <x:c r="D9" s="16" t="str">
        <x:v>Opportunity suppression/assist audience</x:v>
      </x:c>
      <x:c r="E9" s="16" t="str">
        <x:v>Deal-room engagement and stakeholder gaps</x:v>
      </x:c>
      <x:c r="F9" s="16" t="str">
        <x:v>Opportunity + contact roles + Marketo status</x:v>
      </x:c>
      <x:c r="G9" s="16" t="str">
        <x:v>Seller-led mutual plan</x:v>
      </x:c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8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24" customHeight="1">
      <x:c r="A11" s="41" t="str">
        <x:v>24-hour verified surge workflow</x:v>
      </x:c>
      <x:c r="B11" s="41"/>
      <x:c r="C11" s="41"/>
      <x:c r="D11" s="41"/>
      <x:c r="E11" s="41"/>
      <x:c r="F11" s="41"/>
      <x:c r="G11" s="41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40" t="str">
        <x:v>Clock</x:v>
      </x:c>
      <x:c r="B12" s="40" t="str">
        <x:v>Trigger / check</x:v>
      </x:c>
      <x:c r="C12" s="40" t="str">
        <x:v>6sense</x:v>
      </x:c>
      <x:c r="D12" s="40" t="str">
        <x:v>Folloze</x:v>
      </x:c>
      <x:c r="E12" s="40" t="str">
        <x:v>Salesforce / Marketo</x:v>
      </x:c>
      <x:c r="F12" s="40" t="str">
        <x:v>Outreach / Salesloft</x:v>
      </x:c>
      <x:c r="G12" s="40" t="str">
        <x:v>Owner</x:v>
      </x:c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 ht="64" customHeight="1">
      <x:c r="A13" s="16" t="str">
        <x:v>0–15 min</x:v>
      </x:c>
      <x:c r="B13" s="16" t="str">
        <x:v>Detect surge; confirm account fit and suppression</x:v>
      </x:c>
      <x:c r="C13" s="16" t="str">
        <x:v>Write surge reason and topics</x:v>
      </x:c>
      <x:c r="D13" s="16" t="str">
        <x:v>Pull engagement depth/persons</x:v>
      </x:c>
      <x:c r="E13" s="16" t="str">
        <x:v>Create signal event</x:v>
      </x:c>
      <x:c r="F13" s="16" t="str">
        <x:v>—</x:v>
      </x:c>
      <x:c r="G13" s="16" t="str">
        <x:v>Marketing ops</x:v>
      </x:c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 ht="64" customHeight="1">
      <x:c r="A14" s="16" t="str">
        <x:v>15–60 min</x:v>
      </x:c>
      <x:c r="B14" s="16" t="str">
        <x:v>Validate capacity, owner and evidence</x:v>
      </x:c>
      <x:c r="C14" s="16" t="str">
        <x:v>Confirm buying stage</x:v>
      </x:c>
      <x:c r="D14" s="16" t="str">
        <x:v>Identify relevant content</x:v>
      </x:c>
      <x:c r="E14" s="16" t="str">
        <x:v>Assign task / alert</x:v>
      </x:c>
      <x:c r="F14" s="16" t="str">
        <x:v>Prepare approved sequence</x:v>
      </x:c>
      <x:c r="G14" s="16" t="str">
        <x:v>ABM manager</x:v>
      </x:c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 ht="64" customHeight="1">
      <x:c r="A15" s="16" t="str">
        <x:v>1–4 hr</x:v>
      </x:c>
      <x:c r="B15" s="16" t="str">
        <x:v>Research account and people</x:v>
      </x:c>
      <x:c r="C15" s="16" t="str">
        <x:v>Persona / intent gaps</x:v>
      </x:c>
      <x:c r="D15" s="16" t="str">
        <x:v>Review first-party path</x:v>
      </x:c>
      <x:c r="E15" s="16" t="str">
        <x:v>Update account brief</x:v>
      </x:c>
      <x:c r="F15" s="16" t="str">
        <x:v>Personalize first touch</x:v>
      </x:c>
      <x:c r="G15" s="16" t="str">
        <x:v>BDR</x:v>
      </x:c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 ht="64" customHeight="1">
      <x:c r="A16" s="16" t="str">
        <x:v>4–24 hr</x:v>
      </x:c>
      <x:c r="B16" s="16" t="str">
        <x:v>Human outreach with evidence-based relevance</x:v>
      </x:c>
      <x:c r="C16" s="16" t="str">
        <x:v>Add/remove orchestration audience</x:v>
      </x:c>
      <x:c r="D16" s="16" t="str">
        <x:v>Share correct board</x:v>
      </x:c>
      <x:c r="E16" s="16" t="str">
        <x:v>Log activity and disposition</x:v>
      </x:c>
      <x:c r="F16" s="16" t="str">
        <x:v>Launch or hold sequence</x:v>
      </x:c>
      <x:c r="G16" s="16" t="str">
        <x:v>BDR / seller</x:v>
      </x:c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 ht="64" customHeight="1">
      <x:c r="A17" s="16" t="str">
        <x:v>24–72 hr</x:v>
      </x:c>
      <x:c r="B17" s="16" t="str">
        <x:v>Evaluate response and next treatment</x:v>
      </x:c>
      <x:c r="C17" s="16" t="str">
        <x:v>Upgrade/downgrade</x:v>
      </x:c>
      <x:c r="D17" s="16" t="str">
        <x:v>Measure return engagement</x:v>
      </x:c>
      <x:c r="E17" s="16" t="str">
        <x:v>Update status / next step</x:v>
      </x:c>
      <x:c r="F17" s="16" t="str">
        <x:v>Continue, pause or exit</x:v>
      </x:c>
      <x:c r="G17" s="16" t="str">
        <x:v>Pod lead</x:v>
      </x:c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mergeCells>
    <x:mergeCell ref="A1:G1"/>
    <x:mergeCell ref="A2:G2"/>
    <x:mergeCell ref="A11:G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5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37" t="str">
        <x:v>12-Month Campaign Calendar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0" customHeight="1">
      <x:c r="A2" s="39" t="str">
        <x:v>Default pacing reaches 100 opportunities: Crawl 15, Walk +25, Run +60. Adjust the monthly mix while preserving the annual target.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0" t="str">
        <x:v>Month</x:v>
      </x:c>
      <x:c r="B4" s="40" t="str">
        <x:v>Phase</x:v>
      </x:c>
      <x:c r="C4" s="40" t="str">
        <x:v>Program job</x:v>
      </x:c>
      <x:c r="D4" s="40" t="str">
        <x:v>Acquisition campaigns</x:v>
      </x:c>
      <x:c r="E4" s="40" t="str">
        <x:v>Expansion campaigns</x:v>
      </x:c>
      <x:c r="F4" s="40" t="str">
        <x:v>Personas</x:v>
      </x:c>
      <x:c r="G4" s="40" t="str">
        <x:v>Content / Folloze</x:v>
      </x:c>
      <x:c r="H4" s="40" t="str">
        <x:v>Channels</x:v>
      </x:c>
      <x:c r="I4" s="40" t="str">
        <x:v>New opp target</x:v>
      </x:c>
      <x:c r="J4" s="40" t="str">
        <x:v>Cumulative opps</x:v>
      </x:c>
      <x:c r="K4" s="40" t="str">
        <x:v>Pipeline value</x:v>
      </x:c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58" customHeight="1">
      <x:c r="A5" s="16" t="str">
        <x:v>M1</x:v>
      </x:c>
      <x:c r="B5" s="16" t="str">
        <x:v>Crawl</x:v>
      </x:c>
      <x:c r="C5" s="16" t="str">
        <x:v>Foundation + audience QA</x:v>
      </x:c>
      <x:c r="D5" s="16" t="str">
        <x:v>ICP/category discovery</x:v>
      </x:c>
      <x:c r="E5" s="16" t="str">
        <x:v>Install-base white-space audit</x:v>
      </x:c>
      <x:c r="F5" s="16" t="str">
        <x:v>Ops, sellers, champions</x:v>
      </x:c>
      <x:c r="G5" s="16" t="str">
        <x:v>Blueprint + modular content audit</x:v>
      </x:c>
      <x:c r="H5" s="16" t="str">
        <x:v>6sense, Salesforce, Folloze</x:v>
      </x:c>
      <x:c r="I5" s="30" t="n">
        <x:v>3</x:v>
      </x:c>
      <x:c r="J5" s="30" t="n">
        <x:f>I5</x:f>
        <x:v>3</x:v>
      </x:c>
      <x:c r="K5" s="31" t="n">
        <x:f>I5*'Program Inputs'!$B$11</x:f>
        <x:v>750000</x:v>
      </x:c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58" customHeight="1">
      <x:c r="A6" s="16" t="str">
        <x:v>M2</x:v>
      </x:c>
      <x:c r="B6" s="16" t="str">
        <x:v>Crawl</x:v>
      </x:c>
      <x:c r="C6" s="16" t="str">
        <x:v>Launch first cohort</x:v>
      </x:c>
      <x:c r="D6" s="16" t="str">
        <x:v>Problem/priority awareness</x:v>
      </x:c>
      <x:c r="E6" s="16" t="str">
        <x:v>Champion-led adjacent use case</x:v>
      </x:c>
      <x:c r="F6" s="16" t="str">
        <x:v>Economic + operational</x:v>
      </x:c>
      <x:c r="G6" s="16" t="str">
        <x:v>Persona entry + problem board</x:v>
      </x:c>
      <x:c r="H6" s="16" t="str">
        <x:v>LinkedIn, Marketo, Folloze</x:v>
      </x:c>
      <x:c r="I6" s="30" t="n">
        <x:v>5</x:v>
      </x:c>
      <x:c r="J6" s="30" t="n">
        <x:f>J5+I6</x:f>
        <x:v>8</x:v>
      </x:c>
      <x:c r="K6" s="31" t="n">
        <x:f>I6*'Program Inputs'!$B$11</x:f>
        <x:v>1250000</x:v>
      </x:c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58" customHeight="1">
      <x:c r="A7" s="16" t="str">
        <x:v>M3</x:v>
      </x:c>
      <x:c r="B7" s="16" t="str">
        <x:v>Crawl</x:v>
      </x:c>
      <x:c r="C7" s="16" t="str">
        <x:v>Validate routing and surge</x:v>
      </x:c>
      <x:c r="D7" s="16" t="str">
        <x:v>High-fit consideration</x:v>
      </x:c>
      <x:c r="E7" s="16" t="str">
        <x:v>Expansion cohort 1</x:v>
      </x:c>
      <x:c r="F7" s="16" t="str">
        <x:v>Champion + technical</x:v>
      </x:c>
      <x:c r="G7" s="16" t="str">
        <x:v>Cohort board + webinar follow-up</x:v>
      </x:c>
      <x:c r="H7" s="16" t="str">
        <x:v>BDR, events, Folloze</x:v>
      </x:c>
      <x:c r="I7" s="30" t="n">
        <x:v>7</x:v>
      </x:c>
      <x:c r="J7" s="30" t="n">
        <x:f>J6+I7</x:f>
        <x:v>15</x:v>
      </x:c>
      <x:c r="K7" s="31" t="n">
        <x:f>I7*'Program Inputs'!$B$11</x:f>
        <x:v>1750000</x:v>
      </x:c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58" customHeight="1">
      <x:c r="A8" s="16" t="str">
        <x:v>M4</x:v>
      </x:c>
      <x:c r="B8" s="16" t="str">
        <x:v>Walk</x:v>
      </x:c>
      <x:c r="C8" s="16" t="str">
        <x:v>Scale cohort 1</x:v>
      </x:c>
      <x:c r="D8" s="16" t="str">
        <x:v>Industry / use-case cohort</x:v>
      </x:c>
      <x:c r="E8" s="16" t="str">
        <x:v>White-space business case</x:v>
      </x:c>
      <x:c r="F8" s="16" t="str">
        <x:v>Economic + technical</x:v>
      </x:c>
      <x:c r="G8" s="16" t="str">
        <x:v>Calculator + proof path</x:v>
      </x:c>
      <x:c r="H8" s="16" t="str">
        <x:v>6sense, LinkedIn, Marketo</x:v>
      </x:c>
      <x:c r="I8" s="30" t="n">
        <x:v>8</x:v>
      </x:c>
      <x:c r="J8" s="30" t="n">
        <x:f>J7+I8</x:f>
        <x:v>23</x:v>
      </x:c>
      <x:c r="K8" s="31" t="n">
        <x:f>I8*'Program Inputs'!$B$11</x:f>
        <x:v>2000000</x:v>
      </x:c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58" customHeight="1">
      <x:c r="A9" s="16" t="str">
        <x:v>M5</x:v>
      </x:c>
      <x:c r="B9" s="16" t="str">
        <x:v>Walk</x:v>
      </x:c>
      <x:c r="C9" s="16" t="str">
        <x:v>Cohort 2 + community</x:v>
      </x:c>
      <x:c r="D9" s="16" t="str">
        <x:v>AEO/GEO/community discovery</x:v>
      </x:c>
      <x:c r="E9" s="16" t="str">
        <x:v>Champion-forwardable program</x:v>
      </x:c>
      <x:c r="F9" s="16" t="str">
        <x:v>Researchers + champions</x:v>
      </x:c>
      <x:c r="G9" s="16" t="str">
        <x:v>Answer content + community hub</x:v>
      </x:c>
      <x:c r="H9" s="16" t="str">
        <x:v>Community, Folloze, LinkedIn</x:v>
      </x:c>
      <x:c r="I9" s="30" t="n">
        <x:v>9</x:v>
      </x:c>
      <x:c r="J9" s="30" t="n">
        <x:f>J8+I9</x:f>
        <x:v>32</x:v>
      </x:c>
      <x:c r="K9" s="31" t="n">
        <x:f>I9*'Program Inputs'!$B$11</x:f>
        <x:v>2250000</x:v>
      </x:c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58" customHeight="1">
      <x:c r="A10" s="16" t="str">
        <x:v>M6</x:v>
      </x:c>
      <x:c r="B10" s="16" t="str">
        <x:v>Walk</x:v>
      </x:c>
      <x:c r="C10" s="16" t="str">
        <x:v>Midyear optimize</x:v>
      </x:c>
      <x:c r="D10" s="16" t="str">
        <x:v>Event-to-account conversion</x:v>
      </x:c>
      <x:c r="E10" s="16" t="str">
        <x:v>Executive expansion workshop</x:v>
      </x:c>
      <x:c r="F10" s="16" t="str">
        <x:v>Economic + executive</x:v>
      </x:c>
      <x:c r="G10" s="16" t="str">
        <x:v>Event board + executive brief</x:v>
      </x:c>
      <x:c r="H10" s="16" t="str">
        <x:v>Events, BDR, Folloze</x:v>
      </x:c>
      <x:c r="I10" s="30" t="n">
        <x:v>8</x:v>
      </x:c>
      <x:c r="J10" s="30" t="n">
        <x:f>J9+I10</x:f>
        <x:v>40</x:v>
      </x:c>
      <x:c r="K10" s="31" t="n">
        <x:f>I10*'Program Inputs'!$B$11</x:f>
        <x:v>2000000</x:v>
      </x:c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58" customHeight="1">
      <x:c r="A11" s="16" t="str">
        <x:v>M7</x:v>
      </x:c>
      <x:c r="B11" s="16" t="str">
        <x:v>Run</x:v>
      </x:c>
      <x:c r="C11" s="16" t="str">
        <x:v>Scale best cohort</x:v>
      </x:c>
      <x:c r="D11" s="16" t="str">
        <x:v>Priority account wave 1</x:v>
      </x:c>
      <x:c r="E11" s="16" t="str">
        <x:v>Expansion wave 1</x:v>
      </x:c>
      <x:c r="F11" s="16" t="str">
        <x:v>Full buying committee</x:v>
      </x:c>
      <x:c r="G11" s="16" t="str">
        <x:v>1:few boards + nurture</x:v>
      </x:c>
      <x:c r="H11" s="16" t="str">
        <x:v>All orchestrated channels</x:v>
      </x:c>
      <x:c r="I11" s="30" t="n">
        <x:v>10</x:v>
      </x:c>
      <x:c r="J11" s="30" t="n">
        <x:f>J10+I11</x:f>
        <x:v>50</x:v>
      </x:c>
      <x:c r="K11" s="31" t="n">
        <x:f>I11*'Program Inputs'!$B$11</x:f>
        <x:v>2500000</x:v>
      </x:c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 ht="58" customHeight="1">
      <x:c r="A12" s="16" t="str">
        <x:v>M8</x:v>
      </x:c>
      <x:c r="B12" s="16" t="str">
        <x:v>Run</x:v>
      </x:c>
      <x:c r="C12" s="16" t="str">
        <x:v>Add 1:1 surge plays</x:v>
      </x:c>
      <x:c r="D12" s="16" t="str">
        <x:v>Verified surge response</x:v>
      </x:c>
      <x:c r="E12" s="16" t="str">
        <x:v>Verified expansion surge</x:v>
      </x:c>
      <x:c r="F12" s="16" t="str">
        <x:v>Champion + decision team</x:v>
      </x:c>
      <x:c r="G12" s="16" t="str">
        <x:v>1:1 boards</x:v>
      </x:c>
      <x:c r="H12" s="16" t="str">
        <x:v>6sense, Folloze, BDR</x:v>
      </x:c>
      <x:c r="I12" s="30" t="n">
        <x:v>10</x:v>
      </x:c>
      <x:c r="J12" s="30" t="n">
        <x:f>J11+I12</x:f>
        <x:v>60</x:v>
      </x:c>
      <x:c r="K12" s="31" t="n">
        <x:f>I12*'Program Inputs'!$B$11</x:f>
        <x:v>2500000</x:v>
      </x:c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 ht="58" customHeight="1">
      <x:c r="A13" s="16" t="str">
        <x:v>M9</x:v>
      </x:c>
      <x:c r="B13" s="16" t="str">
        <x:v>Run</x:v>
      </x:c>
      <x:c r="C13" s="16" t="str">
        <x:v>Vertical / regional scale</x:v>
      </x:c>
      <x:c r="D13" s="16" t="str">
        <x:v>Localized cohort</x:v>
      </x:c>
      <x:c r="E13" s="16" t="str">
        <x:v>Localized white-space</x:v>
      </x:c>
      <x:c r="F13" s="16" t="str">
        <x:v>Regional personas</x:v>
      </x:c>
      <x:c r="G13" s="16" t="str">
        <x:v>Localized content modules</x:v>
      </x:c>
      <x:c r="H13" s="16" t="str">
        <x:v>LinkedIn, events, Marketo</x:v>
      </x:c>
      <x:c r="I13" s="30" t="n">
        <x:v>10</x:v>
      </x:c>
      <x:c r="J13" s="30" t="n">
        <x:f>J12+I13</x:f>
        <x:v>70</x:v>
      </x:c>
      <x:c r="K13" s="31" t="n">
        <x:f>I13*'Program Inputs'!$B$11</x:f>
        <x:v>2500000</x:v>
      </x:c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 ht="58" customHeight="1">
      <x:c r="A14" s="16" t="str">
        <x:v>M10</x:v>
      </x:c>
      <x:c r="B14" s="16" t="str">
        <x:v>Run</x:v>
      </x:c>
      <x:c r="C14" s="16" t="str">
        <x:v>Executive conversion</x:v>
      </x:c>
      <x:c r="D14" s="16" t="str">
        <x:v>Executive priority campaign</x:v>
      </x:c>
      <x:c r="E14" s="16" t="str">
        <x:v>Executive value realization</x:v>
      </x:c>
      <x:c r="F14" s="16" t="str">
        <x:v>Economic buyers</x:v>
      </x:c>
      <x:c r="G14" s="16" t="str">
        <x:v>Executive brief + peer proof</x:v>
      </x:c>
      <x:c r="H14" s="16" t="str">
        <x:v>Executive, direct, Folloze</x:v>
      </x:c>
      <x:c r="I14" s="30" t="n">
        <x:v>10</x:v>
      </x:c>
      <x:c r="J14" s="30" t="n">
        <x:f>J13+I14</x:f>
        <x:v>80</x:v>
      </x:c>
      <x:c r="K14" s="31" t="n">
        <x:f>I14*'Program Inputs'!$B$11</x:f>
        <x:v>2500000</x:v>
      </x:c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 ht="58" customHeight="1">
      <x:c r="A15" s="16" t="str">
        <x:v>M11</x:v>
      </x:c>
      <x:c r="B15" s="16" t="str">
        <x:v>Run</x:v>
      </x:c>
      <x:c r="C15" s="16" t="str">
        <x:v>Pipeline acceleration</x:v>
      </x:c>
      <x:c r="D15" s="16" t="str">
        <x:v>Decision validation</x:v>
      </x:c>
      <x:c r="E15" s="16" t="str">
        <x:v>Cross-sell decision support</x:v>
      </x:c>
      <x:c r="F15" s="16" t="str">
        <x:v>Decision team</x:v>
      </x:c>
      <x:c r="G15" s="16" t="str">
        <x:v>Proof + implementation path</x:v>
      </x:c>
      <x:c r="H15" s="16" t="str">
        <x:v>Seller, BDR, Folloze</x:v>
      </x:c>
      <x:c r="I15" s="30" t="n">
        <x:v>10</x:v>
      </x:c>
      <x:c r="J15" s="30" t="n">
        <x:f>J14+I15</x:f>
        <x:v>90</x:v>
      </x:c>
      <x:c r="K15" s="31" t="n">
        <x:f>I15*'Program Inputs'!$B$11</x:f>
        <x:v>2500000</x:v>
      </x:c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 ht="58" customHeight="1">
      <x:c r="A16" s="16" t="str">
        <x:v>M12</x:v>
      </x:c>
      <x:c r="B16" s="16" t="str">
        <x:v>Run</x:v>
      </x:c>
      <x:c r="C16" s="16" t="str">
        <x:v>Close, recycle, plan next year</x:v>
      </x:c>
      <x:c r="D16" s="16" t="str">
        <x:v>Next-best account recycling</x:v>
      </x:c>
      <x:c r="E16" s="16" t="str">
        <x:v>Champion continuity</x:v>
      </x:c>
      <x:c r="F16" s="16" t="str">
        <x:v>Full committee</x:v>
      </x:c>
      <x:c r="G16" s="16" t="str">
        <x:v>Deal rooms + next-year hub</x:v>
      </x:c>
      <x:c r="H16" s="16" t="str">
        <x:v>Seller, Marketo, Folloze</x:v>
      </x:c>
      <x:c r="I16" s="30" t="n">
        <x:v>10</x:v>
      </x:c>
      <x:c r="J16" s="30" t="n">
        <x:f>J15+I16</x:f>
        <x:v>100</x:v>
      </x:c>
      <x:c r="K16" s="31" t="n">
        <x:f>I16*'Program Inputs'!$B$11</x:f>
        <x:v>2500000</x:v>
      </x:c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40" t="str">
        <x:v>Phase</x:v>
      </x:c>
      <x:c r="B18" s="40" t="str">
        <x:v>Timing</x:v>
      </x:c>
      <x:c r="C18" s="40" t="str">
        <x:v>Opportunity objective</x:v>
      </x:c>
      <x:c r="D18" s="40" t="str">
        <x:v>Core proof</x:v>
      </x:c>
      <x:c r="E18" s="40" t="str">
        <x:v>Exit gate</x:v>
      </x:c>
      <x:c r="F18" s="40" t="str">
        <x:v>Governance</x:v>
      </x:c>
      <x:c r="G18" s="40" t="str">
        <x:v>Scale decision</x:v>
      </x:c>
      <x:c r="H18" s="40" t="str">
        <x:v>Status</x:v>
      </x:c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16" t="str">
        <x:v>Crawl</x:v>
      </x:c>
      <x:c r="B19" s="16" t="str">
        <x:v>M1–M3</x:v>
      </x:c>
      <x:c r="C19" s="16" t="str">
        <x:v>First 10–15 SAOs</x:v>
      </x:c>
      <x:c r="D19" s="16" t="str">
        <x:v>Data, stage, experience and response workflow function</x:v>
      </x:c>
      <x:c r="E19" s="16" t="str">
        <x:v>15 cumulative opportunities or approved learning gate</x:v>
      </x:c>
      <x:c r="F19" s="16" t="str">
        <x:v>Weekly pod</x:v>
      </x:c>
      <x:c r="G19" s="16" t="str">
        <x:v>Proceed / repair</x:v>
      </x:c>
      <x:c r="H19" s="21" t="str">
        <x:v>[STATUS]</x:v>
      </x:c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16" t="str">
        <x:v>Walk</x:v>
      </x:c>
      <x:c r="B20" s="16" t="str">
        <x:v>M4–M6</x:v>
      </x:c>
      <x:c r="C20" s="16" t="str">
        <x:v>+25 SAOs</x:v>
      </x:c>
      <x:c r="D20" s="16" t="str">
        <x:v>Repeatable cohort economics and channel contribution</x:v>
      </x:c>
      <x:c r="E20" s="16" t="str">
        <x:v>40 cumulative opportunities</x:v>
      </x:c>
      <x:c r="F20" s="16" t="str">
        <x:v>Biweekly program review</x:v>
      </x:c>
      <x:c r="G20" s="16" t="str">
        <x:v>Scale cohorts</x:v>
      </x:c>
      <x:c r="H20" s="21" t="str">
        <x:v>[STATUS]</x:v>
      </x:c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16" t="str">
        <x:v>Run</x:v>
      </x:c>
      <x:c r="B21" s="16" t="str">
        <x:v>M7–M12</x:v>
      </x:c>
      <x:c r="C21" s="16" t="str">
        <x:v>+60–65 SAOs</x:v>
      </x:c>
      <x:c r="D21" s="16" t="str">
        <x:v>Global/regional repeatability with governance</x:v>
      </x:c>
      <x:c r="E21" s="16" t="str">
        <x:v>100 cumulative opportunities</x:v>
      </x:c>
      <x:c r="F21" s="16" t="str">
        <x:v>Monthly steering committee</x:v>
      </x:c>
      <x:c r="G21" s="16" t="str">
        <x:v>Annualize</x:v>
      </x:c>
      <x:c r="H21" s="21" t="str">
        <x:v>[STATUS]</x:v>
      </x:c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mergeCells>
    <x:mergeCell ref="A1:K1"/>
    <x:mergeCell ref="A2:K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38" hidden="0" customWidth="1"/>
    <x:col min="4" max="4" width="23" hidden="0" customWidth="1"/>
    <x:col min="5" max="5" width="24" hidden="0" customWidth="1"/>
    <x:col min="6" max="6" width="24" hidden="0" customWidth="1"/>
    <x:col min="7" max="7" width="15" hidden="0" customWidth="1"/>
    <x:col min="8" max="8" width="16" hidden="0" customWidth="1"/>
  </x:cols>
  <x:sheetData>
    <x:row r="1" ht="34" customHeight="1">
      <x:c r="A1" s="37" t="str">
        <x:v>Persona, Content and Experience Map</x:v>
      </x:c>
      <x:c r="B1" s="37"/>
      <x:c r="C1" s="37"/>
      <x:c r="D1" s="37"/>
      <x:c r="E1" s="37"/>
      <x:c r="F1" s="37"/>
      <x:c r="G1" s="37"/>
      <x:c r="H1" s="37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0" customHeight="1">
      <x:c r="A2" s="39" t="str">
        <x:v>Replace persona labels and proof with customer-approved evidence. Keep buyer jobs, stage logic and champion-forwardability explicit.</x:v>
      </x:c>
      <x:c r="B2" s="39"/>
      <x:c r="C2" s="39"/>
      <x:c r="D2" s="39"/>
      <x:c r="E2" s="39"/>
      <x:c r="F2" s="39"/>
      <x:c r="G2" s="39"/>
      <x:c r="H2" s="39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0" t="str">
        <x:v>Persona archetype</x:v>
      </x:c>
      <x:c r="B4" s="40" t="str">
        <x:v>Buyer job / tension</x:v>
      </x:c>
      <x:c r="C4" s="40" t="str">
        <x:v>Awareness</x:v>
      </x:c>
      <x:c r="D4" s="40" t="str">
        <x:v>Consideration</x:v>
      </x:c>
      <x:c r="E4" s="40" t="str">
        <x:v>Decision</x:v>
      </x:c>
      <x:c r="F4" s="40" t="str">
        <x:v>Purchase</x:v>
      </x:c>
      <x:c r="G4" s="40" t="str">
        <x:v>Folloze treatment</x:v>
      </x:c>
      <x:c r="H4" s="40" t="str">
        <x:v>Primary CTA</x:v>
      </x:c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76" customHeight="1">
      <x:c r="A5" s="16" t="str">
        <x:v>Economic buyer</x:v>
      </x:c>
      <x:c r="B5" s="16" t="str">
        <x:v>Prioritize value, risk and timing</x:v>
      </x:c>
      <x:c r="C5" s="16" t="str">
        <x:v>Executive POV / benchmark</x:v>
      </x:c>
      <x:c r="D5" s="16" t="str">
        <x:v>Business case / value model</x:v>
      </x:c>
      <x:c r="E5" s="16" t="str">
        <x:v>Peer proof / implementation risk</x:v>
      </x:c>
      <x:c r="F5" s="16" t="str">
        <x:v>Commercial and mutual plan</x:v>
      </x:c>
      <x:c r="G5" s="16" t="str">
        <x:v>Executive path with concise modules</x:v>
      </x:c>
      <x:c r="H5" s="16" t="str">
        <x:v>Assess value / sponsor next step</x:v>
      </x:c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76" customHeight="1">
      <x:c r="A6" s="16" t="str">
        <x:v>Technical validator</x:v>
      </x:c>
      <x:c r="B6" s="16" t="str">
        <x:v>Verify architecture, security and feasibility</x:v>
      </x:c>
      <x:c r="C6" s="16" t="str">
        <x:v>Technical trend / architecture POV</x:v>
      </x:c>
      <x:c r="D6" s="16" t="str">
        <x:v>Solution architecture / integration</x:v>
      </x:c>
      <x:c r="E6" s="16" t="str">
        <x:v>Validation plan / security proof</x:v>
      </x:c>
      <x:c r="F6" s="16" t="str">
        <x:v>Implementation plan</x:v>
      </x:c>
      <x:c r="G6" s="16" t="str">
        <x:v>Technical track on shared board</x:v>
      </x:c>
      <x:c r="H6" s="16" t="str">
        <x:v>Review architecture / validate</x:v>
      </x:c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76" customHeight="1">
      <x:c r="A7" s="16" t="str">
        <x:v>Operational leader</x:v>
      </x:c>
      <x:c r="B7" s="16" t="str">
        <x:v>Improve workflow, adoption and outcomes</x:v>
      </x:c>
      <x:c r="C7" s="16" t="str">
        <x:v>Problem and process benchmark</x:v>
      </x:c>
      <x:c r="D7" s="16" t="str">
        <x:v>Use case / workflow guide</x:v>
      </x:c>
      <x:c r="E7" s="16" t="str">
        <x:v>Operating model / adoption proof</x:v>
      </x:c>
      <x:c r="F7" s="16" t="str">
        <x:v>Success plan</x:v>
      </x:c>
      <x:c r="G7" s="16" t="str">
        <x:v>Role-specific workflow path</x:v>
      </x:c>
      <x:c r="H7" s="16" t="str">
        <x:v>Explore use case / plan pilot</x:v>
      </x:c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76" customHeight="1">
      <x:c r="A8" s="16" t="str">
        <x:v>Champion</x:v>
      </x:c>
      <x:c r="B8" s="16" t="str">
        <x:v>Build consensus and mobilize stakeholders</x:v>
      </x:c>
      <x:c r="C8" s="16" t="str">
        <x:v>Forwardable insight</x:v>
      </x:c>
      <x:c r="D8" s="16" t="str">
        <x:v>Internal brief / calculator</x:v>
      </x:c>
      <x:c r="E8" s="16" t="str">
        <x:v>Champion kit / stakeholder proof</x:v>
      </x:c>
      <x:c r="F8" s="16" t="str">
        <x:v>Mutual plan and enablement</x:v>
      </x:c>
      <x:c r="G8" s="16" t="str">
        <x:v>Champion-forwardable experience</x:v>
      </x:c>
      <x:c r="H8" s="16" t="str">
        <x:v>Share / convene buying team</x:v>
      </x:c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76" customHeight="1">
      <x:c r="A9" s="16" t="str">
        <x:v>Procurement / finance</x:v>
      </x:c>
      <x:c r="B9" s="16" t="str">
        <x:v>Validate economics, terms and risk</x:v>
      </x:c>
      <x:c r="C9" s="16" t="str">
        <x:v>—</x:v>
      </x:c>
      <x:c r="D9" s="16" t="str">
        <x:v>TCO framework</x:v>
      </x:c>
      <x:c r="E9" s="16" t="str">
        <x:v>Commercial rationale / risk</x:v>
      </x:c>
      <x:c r="F9" s="16" t="str">
        <x:v>Terms and approval package</x:v>
      </x:c>
      <x:c r="G9" s="16" t="str">
        <x:v>Restricted decision content</x:v>
      </x:c>
      <x:c r="H9" s="16" t="str">
        <x:v>Review economics / approvals</x:v>
      </x:c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8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24" customHeight="1">
      <x:c r="A11" s="41" t="str">
        <x:v>Content governance checklist</x:v>
      </x:c>
      <x:c r="B11" s="41"/>
      <x:c r="C11" s="41"/>
      <x:c r="D11" s="41"/>
      <x:c r="E11" s="41"/>
      <x:c r="F11" s="41"/>
      <x:c r="G11" s="41"/>
      <x:c r="H11" s="41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40" t="str">
        <x:v>Asset / module</x:v>
      </x:c>
      <x:c r="B12" s="40" t="str">
        <x:v>Customer-specific?</x:v>
      </x:c>
      <x:c r="C12" s="40" t="str">
        <x:v>Source folder</x:v>
      </x:c>
      <x:c r="D12" s="40" t="str">
        <x:v>Proof / claim owner</x:v>
      </x:c>
      <x:c r="E12" s="40" t="str">
        <x:v>Lifecycle stage</x:v>
      </x:c>
      <x:c r="F12" s="40" t="str">
        <x:v>Persona</x:v>
      </x:c>
      <x:c r="G12" s="40" t="str">
        <x:v>Approved?</x:v>
      </x:c>
      <x:c r="H12" s="40" t="str">
        <x:v>Refresh date</x:v>
      </x:c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16" t="str">
        <x:v>Category POV</x:v>
      </x:c>
      <x:c r="B13" s="16" t="str">
        <x:v>Yes</x:v>
      </x:c>
      <x:c r="C13" s="16" t="str">
        <x:v>[CUSTOMER_EXTERNAL_CONTENT_FOLDER]</x:v>
      </x:c>
      <x:c r="D13" s="16" t="str">
        <x:v>[OWNER]</x:v>
      </x:c>
      <x:c r="E13" s="16" t="str">
        <x:v>Awareness</x:v>
      </x:c>
      <x:c r="F13" s="16" t="str">
        <x:v>Economic / operational</x:v>
      </x:c>
      <x:c r="G13" s="21" t="str">
        <x:v>[STATUS]</x:v>
      </x:c>
      <x:c r="H13" s="21" t="str">
        <x:v>[DATE]</x:v>
      </x:c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16" t="str">
        <x:v>Use-case guide</x:v>
      </x:c>
      <x:c r="B14" s="16" t="str">
        <x:v>Yes</x:v>
      </x:c>
      <x:c r="C14" s="16" t="str">
        <x:v>[CUSTOMER_PRODUCT_TECHNICAL_FOLDER]</x:v>
      </x:c>
      <x:c r="D14" s="16" t="str">
        <x:v>[OWNER]</x:v>
      </x:c>
      <x:c r="E14" s="16" t="str">
        <x:v>Consideration</x:v>
      </x:c>
      <x:c r="F14" s="16" t="str">
        <x:v>Operational / technical</x:v>
      </x:c>
      <x:c r="G14" s="21" t="str">
        <x:v>[STATUS]</x:v>
      </x:c>
      <x:c r="H14" s="21" t="str">
        <x:v>[DATE]</x:v>
      </x:c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16" t="str">
        <x:v>Customer proof</x:v>
      </x:c>
      <x:c r="B15" s="16" t="str">
        <x:v>Yes</x:v>
      </x:c>
      <x:c r="C15" s="16" t="str">
        <x:v>[CUSTOMER_STORIES_FOLDER]</x:v>
      </x:c>
      <x:c r="D15" s="16" t="str">
        <x:v>[OWNER]</x:v>
      </x:c>
      <x:c r="E15" s="16" t="str">
        <x:v>Decision</x:v>
      </x:c>
      <x:c r="F15" s="16" t="str">
        <x:v>All</x:v>
      </x:c>
      <x:c r="G15" s="21" t="str">
        <x:v>[STATUS]</x:v>
      </x:c>
      <x:c r="H15" s="21" t="str">
        <x:v>[DATE]</x:v>
      </x:c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16" t="str">
        <x:v>Business case</x:v>
      </x:c>
      <x:c r="B16" s="16" t="str">
        <x:v>Yes</x:v>
      </x:c>
      <x:c r="C16" s="16" t="str">
        <x:v>[CUSTOMER_STRATEGY_FOLDER]</x:v>
      </x:c>
      <x:c r="D16" s="16" t="str">
        <x:v>[OWNER]</x:v>
      </x:c>
      <x:c r="E16" s="16" t="str">
        <x:v>Consideration / Decision</x:v>
      </x:c>
      <x:c r="F16" s="16" t="str">
        <x:v>Economic / champion</x:v>
      </x:c>
      <x:c r="G16" s="21" t="str">
        <x:v>[STATUS]</x:v>
      </x:c>
      <x:c r="H16" s="21" t="str">
        <x:v>[DATE]</x:v>
      </x:c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16" t="str">
        <x:v>Implementation plan</x:v>
      </x:c>
      <x:c r="B17" s="16" t="str">
        <x:v>Yes</x:v>
      </x:c>
      <x:c r="C17" s="16" t="str">
        <x:v>[CUSTOMER_PRODUCT_TECHNICAL_FOLDER]</x:v>
      </x:c>
      <x:c r="D17" s="16" t="str">
        <x:v>[OWNER]</x:v>
      </x:c>
      <x:c r="E17" s="16" t="str">
        <x:v>Purchase</x:v>
      </x:c>
      <x:c r="F17" s="16" t="str">
        <x:v>Technical / operational</x:v>
      </x:c>
      <x:c r="G17" s="21" t="str">
        <x:v>[STATUS]</x:v>
      </x:c>
      <x:c r="H17" s="21" t="str">
        <x:v>[DATE]</x:v>
      </x:c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3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4" customHeight="1">
      <x:c r="A1" s="37" t="str">
        <x:v>Commercial and Opportunity Model</x:v>
      </x:c>
      <x:c r="B1" s="37"/>
      <x:c r="C1" s="37"/>
      <x:c r="D1" s="37"/>
      <x:c r="E1" s="37"/>
      <x:c r="F1" s="37"/>
      <x:c r="G1" s="37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0" customHeight="1">
      <x:c r="A2" s="39" t="str">
        <x:v>Formula-driven scenario connecting account coverage, opportunity targets, acquisition/expansion mix and value by stage.</x:v>
      </x:c>
      <x:c r="B2" s="39"/>
      <x:c r="C2" s="39"/>
      <x:c r="D2" s="39"/>
      <x:c r="E2" s="39"/>
      <x:c r="F2" s="39"/>
      <x:c r="G2" s="39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0" t="str">
        <x:v>Metric</x:v>
      </x:c>
      <x:c r="B4" s="40" t="str">
        <x:v>Value</x:v>
      </x:c>
      <x:c r="C4" s="40" t="str">
        <x:v>Unit</x:v>
      </x:c>
      <x:c r="D4" s="40" t="str">
        <x:v>Formula / interpretation</x:v>
      </x:c>
      <x:c r="E4" s="38"/>
      <x:c r="F4" s="40" t="str">
        <x:v>Stage</x:v>
      </x:c>
      <x:c r="G4" s="40" t="str">
        <x:v>Value treatment</x:v>
      </x:c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16" t="str">
        <x:v>Target accounts</x:v>
      </x:c>
      <x:c r="B5" s="35" t="n">
        <x:f>'Program Inputs'!$B$7</x:f>
        <x:v>500</x:v>
      </x:c>
      <x:c r="C5" s="16" t="str">
        <x:v>accounts</x:v>
      </x:c>
      <x:c r="D5" s="16" t="str">
        <x:v>Input</x:v>
      </x:c>
      <x:c r="E5" s="38"/>
      <x:c r="F5" s="16" t="str">
        <x:v>Pre-Pipeline</x:v>
      </x:c>
      <x:c r="G5" s="16" t="str">
        <x:v>$0; no opportunity claim</x:v>
      </x:c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16" t="str">
        <x:v>Opportunity target</x:v>
      </x:c>
      <x:c r="B6" s="35" t="n">
        <x:f>'Program Inputs'!$B$8</x:f>
        <x:v>100</x:v>
      </x:c>
      <x:c r="C6" s="16" t="str">
        <x:v>opportunities</x:v>
      </x:c>
      <x:c r="D6" s="16" t="str">
        <x:v>Input</x:v>
      </x:c>
      <x:c r="E6" s="38"/>
      <x:c r="F6" s="16" t="str">
        <x:v>Target</x:v>
      </x:c>
      <x:c r="G6" s="16" t="str">
        <x:v>Coverage only</x:v>
      </x:c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16" t="str">
        <x:v>Account-to-opportunity rate</x:v>
      </x:c>
      <x:c r="B7" s="33" t="n">
        <x:f>B6/B5</x:f>
        <x:v>0.2</x:v>
      </x:c>
      <x:c r="C7" s="16" t="str">
        <x:v>rate</x:v>
      </x:c>
      <x:c r="D7" s="16" t="str">
        <x:v>Opportunity target ÷ accounts</x:v>
      </x:c>
      <x:c r="E7" s="38"/>
      <x:c r="F7" s="16" t="str">
        <x:v>Awareness</x:v>
      </x:c>
      <x:c r="G7" s="16" t="str">
        <x:v>Value hypothesis; not pipeline</x:v>
      </x:c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16" t="str">
        <x:v>Acquisition opportunities</x:v>
      </x:c>
      <x:c r="B8" s="35" t="n">
        <x:f>B6*'Program Inputs'!$B$9</x:f>
        <x:v>60</x:v>
      </x:c>
      <x:c r="C8" s="16" t="str">
        <x:v>opportunities</x:v>
      </x:c>
      <x:c r="D8" s="16" t="str">
        <x:v>Target × acquisition share</x:v>
      </x:c>
      <x:c r="E8" s="38"/>
      <x:c r="F8" s="16" t="str">
        <x:v>Consideration</x:v>
      </x:c>
      <x:c r="G8" s="16" t="str">
        <x:v>Potential opportunity value range</x:v>
      </x:c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16" t="str">
        <x:v>Expansion opportunities</x:v>
      </x:c>
      <x:c r="B9" s="35" t="n">
        <x:f>B6*'Program Inputs'!$B$10</x:f>
        <x:v>40</x:v>
      </x:c>
      <x:c r="C9" s="16" t="str">
        <x:v>opportunities</x:v>
      </x:c>
      <x:c r="D9" s="16" t="str">
        <x:v>Target × expansion share</x:v>
      </x:c>
      <x:c r="E9" s="38"/>
      <x:c r="F9" s="16" t="str">
        <x:v>Decision</x:v>
      </x:c>
      <x:c r="G9" s="16" t="str">
        <x:v>CRM opportunity amount required</x:v>
      </x:c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16" t="str">
        <x:v>Average opportunity value</x:v>
      </x:c>
      <x:c r="B10" s="34" t="n">
        <x:f>'Program Inputs'!$B$11</x:f>
        <x:v>250000</x:v>
      </x:c>
      <x:c r="C10" s="16" t="str">
        <x:v>USD</x:v>
      </x:c>
      <x:c r="D10" s="16" t="str">
        <x:v>Input</x:v>
      </x:c>
      <x:c r="E10" s="38"/>
      <x:c r="F10" s="16" t="str">
        <x:v>Purchase</x:v>
      </x:c>
      <x:c r="G10" s="16" t="str">
        <x:v>Weighted pipeline / bookings</x:v>
      </x:c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16" t="str">
        <x:v>Total pipeline created</x:v>
      </x:c>
      <x:c r="B11" s="34" t="n">
        <x:f>B6*B10</x:f>
        <x:v>25000000</x:v>
      </x:c>
      <x:c r="C11" s="16" t="str">
        <x:v>USD</x:v>
      </x:c>
      <x:c r="D11" s="16" t="str">
        <x:v>Opportunity target × average value</x:v>
      </x:c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16" t="str">
        <x:v>Expected wins</x:v>
      </x:c>
      <x:c r="B12" s="36" t="n">
        <x:f>B6*'Program Inputs'!$B$13</x:f>
        <x:v>25</x:v>
      </x:c>
      <x:c r="C12" s="16" t="str">
        <x:v>wins</x:v>
      </x:c>
      <x:c r="D12" s="16" t="str">
        <x:v>Opportunity target × win rate</x:v>
      </x:c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16" t="str">
        <x:v>Expected bookings</x:v>
      </x:c>
      <x:c r="B13" s="36" t="n">
        <x:f>B12*B10</x:f>
        <x:v>6250000</x:v>
      </x:c>
      <x:c r="C13" s="16" t="str">
        <x:v>USD</x:v>
      </x:c>
      <x:c r="D13" s="16" t="str">
        <x:v>Expected wins × average value</x:v>
      </x:c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16" t="str">
        <x:v>Target contacts</x:v>
      </x:c>
      <x:c r="B14" s="36" t="n">
        <x:f>B5*'Program Inputs'!$B$12</x:f>
        <x:v>3000</x:v>
      </x:c>
      <x:c r="C14" s="16" t="str">
        <x:v>contacts</x:v>
      </x:c>
      <x:c r="D14" s="16" t="str">
        <x:v>Accounts × contacts per account</x:v>
      </x:c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16" t="str">
        <x:v>Opportunities per month</x:v>
      </x:c>
      <x:c r="B15" s="36" t="n">
        <x:f>B6/12</x:f>
        <x:v>8.333333333333334</x:v>
      </x:c>
      <x:c r="C15" s="16" t="str">
        <x:v>average</x:v>
      </x:c>
      <x:c r="D15" s="16" t="str">
        <x:v>Directional capacity measure</x:v>
      </x:c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 ht="24" customHeight="1">
      <x:c r="A18" s="41" t="str">
        <x:v>Monthly opportunity pacing and value</x:v>
      </x:c>
      <x:c r="B18" s="41"/>
      <x:c r="C18" s="41"/>
      <x:c r="D18" s="41"/>
      <x:c r="E18" s="41"/>
      <x:c r="F18" s="41"/>
      <x:c r="G18" s="41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40" t="str">
        <x:v>Month</x:v>
      </x:c>
      <x:c r="B19" s="40" t="str">
        <x:v>New opportunities</x:v>
      </x:c>
      <x:c r="C19" s="40" t="str">
        <x:v>Cumulative</x:v>
      </x:c>
      <x:c r="D19" s="40" t="str">
        <x:v>Pipeline value</x:v>
      </x:c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16" t="str">
        <x:v>M1</x:v>
      </x:c>
      <x:c r="B20" s="16" t="n">
        <x:v>3</x:v>
      </x:c>
      <x:c r="C20" s="16" t="n">
        <x:f>B20</x:f>
        <x:v>3</x:v>
      </x:c>
      <x:c r="D20" s="31" t="n">
        <x:f>B20*$B$10</x:f>
        <x:v>750000</x:v>
      </x:c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16" t="str">
        <x:v>M2</x:v>
      </x:c>
      <x:c r="B21" s="16" t="n">
        <x:v>5</x:v>
      </x:c>
      <x:c r="C21" s="16" t="n">
        <x:f>C20+B21</x:f>
        <x:v>8</x:v>
      </x:c>
      <x:c r="D21" s="31" t="n">
        <x:f>B21*$B$10</x:f>
        <x:v>1250000</x:v>
      </x:c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16" t="str">
        <x:v>M3</x:v>
      </x:c>
      <x:c r="B22" s="16" t="n">
        <x:v>7</x:v>
      </x:c>
      <x:c r="C22" s="16" t="n">
        <x:f>C21+B22</x:f>
        <x:v>15</x:v>
      </x:c>
      <x:c r="D22" s="31" t="n">
        <x:f>B22*$B$10</x:f>
        <x:v>1750000</x:v>
      </x:c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16" t="str">
        <x:v>M4</x:v>
      </x:c>
      <x:c r="B23" s="16" t="n">
        <x:v>8</x:v>
      </x:c>
      <x:c r="C23" s="16" t="n">
        <x:f>C22+B23</x:f>
        <x:v>23</x:v>
      </x:c>
      <x:c r="D23" s="31" t="n">
        <x:f>B23*$B$10</x:f>
        <x:v>2000000</x:v>
      </x:c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16" t="str">
        <x:v>M5</x:v>
      </x:c>
      <x:c r="B24" s="16" t="n">
        <x:v>9</x:v>
      </x:c>
      <x:c r="C24" s="16" t="n">
        <x:f>C23+B24</x:f>
        <x:v>32</x:v>
      </x:c>
      <x:c r="D24" s="31" t="n">
        <x:f>B24*$B$10</x:f>
        <x:v>2250000</x:v>
      </x:c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16" t="str">
        <x:v>M6</x:v>
      </x:c>
      <x:c r="B25" s="16" t="n">
        <x:v>8</x:v>
      </x:c>
      <x:c r="C25" s="16" t="n">
        <x:f>C24+B25</x:f>
        <x:v>40</x:v>
      </x:c>
      <x:c r="D25" s="31" t="n">
        <x:f>B25*$B$10</x:f>
        <x:v>2000000</x:v>
      </x:c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16" t="str">
        <x:v>M7</x:v>
      </x:c>
      <x:c r="B26" s="16" t="n">
        <x:v>10</x:v>
      </x:c>
      <x:c r="C26" s="16" t="n">
        <x:f>C25+B26</x:f>
        <x:v>50</x:v>
      </x:c>
      <x:c r="D26" s="31" t="n">
        <x:f>B26*$B$10</x:f>
        <x:v>2500000</x:v>
      </x:c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16" t="str">
        <x:v>M8</x:v>
      </x:c>
      <x:c r="B27" s="16" t="n">
        <x:v>10</x:v>
      </x:c>
      <x:c r="C27" s="16" t="n">
        <x:f>C26+B27</x:f>
        <x:v>60</x:v>
      </x:c>
      <x:c r="D27" s="31" t="n">
        <x:f>B27*$B$10</x:f>
        <x:v>2500000</x:v>
      </x:c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16" t="str">
        <x:v>M9</x:v>
      </x:c>
      <x:c r="B28" s="16" t="n">
        <x:v>10</x:v>
      </x:c>
      <x:c r="C28" s="16" t="n">
        <x:f>C27+B28</x:f>
        <x:v>70</x:v>
      </x:c>
      <x:c r="D28" s="31" t="n">
        <x:f>B28*$B$10</x:f>
        <x:v>2500000</x:v>
      </x:c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16" t="str">
        <x:v>M10</x:v>
      </x:c>
      <x:c r="B29" s="16" t="n">
        <x:v>10</x:v>
      </x:c>
      <x:c r="C29" s="16" t="n">
        <x:f>C28+B29</x:f>
        <x:v>80</x:v>
      </x:c>
      <x:c r="D29" s="31" t="n">
        <x:f>B29*$B$10</x:f>
        <x:v>2500000</x:v>
      </x:c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16" t="str">
        <x:v>M11</x:v>
      </x:c>
      <x:c r="B30" s="16" t="n">
        <x:v>10</x:v>
      </x:c>
      <x:c r="C30" s="16" t="n">
        <x:f>C29+B30</x:f>
        <x:v>90</x:v>
      </x:c>
      <x:c r="D30" s="31" t="n">
        <x:f>B30*$B$10</x:f>
        <x:v>2500000</x:v>
      </x:c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16" t="str">
        <x:v>M12</x:v>
      </x:c>
      <x:c r="B31" s="16" t="n">
        <x:v>10</x:v>
      </x:c>
      <x:c r="C31" s="16" t="n">
        <x:f>C30+B31</x:f>
        <x:v>100</x:v>
      </x:c>
      <x:c r="D31" s="31" t="n">
        <x:f>B31*$B$10</x:f>
        <x:v>2500000</x:v>
      </x:c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mergeCells>
    <x:mergeCell ref="A1:G1"/>
    <x:mergeCell ref="A2:G2"/>
    <x:mergeCell ref="A18:G1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20" hidden="0" customWidth="1"/>
    <x:col min="4" max="4" width="28" hidden="0" customWidth="1"/>
    <x:col min="5" max="5" width="72" hidden="0" customWidth="1"/>
    <x:col min="6" max="6" width="26" hidden="0" customWidth="1"/>
    <x:col min="7" max="7" width="32" hidden="0" customWidth="1"/>
  </x:cols>
  <x:sheetData>
    <x:row r="1" ht="34" customHeight="1">
      <x:c r="A1" s="37" t="str">
        <x:v>Executable Sequence Library</x:v>
      </x:c>
      <x:c r="B1" s="37"/>
      <x:c r="C1" s="37"/>
      <x:c r="D1" s="37"/>
      <x:c r="E1" s="37"/>
      <x:c r="F1" s="37"/>
      <x:c r="G1" s="37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0" customHeight="1">
      <x:c r="A2" s="39" t="str">
        <x:v>Examples—not just prompts. Personalize from verified business evidence; never imply surveillance or cite intent data to the buyer.</x:v>
      </x:c>
      <x:c r="B2" s="39"/>
      <x:c r="C2" s="39"/>
      <x:c r="D2" s="39"/>
      <x:c r="E2" s="39"/>
      <x:c r="F2" s="39"/>
      <x:c r="G2" s="39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0" t="str">
        <x:v>Sequence</x:v>
      </x:c>
      <x:c r="B4" s="40" t="str">
        <x:v>Touch / timing</x:v>
      </x:c>
      <x:c r="C4" s="40" t="str">
        <x:v>Channel</x:v>
      </x:c>
      <x:c r="D4" s="40" t="str">
        <x:v>Job</x:v>
      </x:c>
      <x:c r="E4" s="40" t="str">
        <x:v>Example copy pattern</x:v>
      </x:c>
      <x:c r="F4" s="40" t="str">
        <x:v>CTA</x:v>
      </x:c>
      <x:c r="G4" s="40" t="str">
        <x:v>Exit / safety rule</x:v>
      </x:c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88" customHeight="1">
      <x:c r="A5" s="16" t="str">
        <x:v>BDR verified surge</x:v>
      </x:c>
      <x:c r="B5" s="16" t="str">
        <x:v>1 / within 24h</x:v>
      </x:c>
      <x:c r="C5" s="16" t="str">
        <x:v>Email</x:v>
      </x:c>
      <x:c r="D5" s="16" t="str">
        <x:v>Relevant human response</x:v>
      </x:c>
      <x:c r="E5" s="16" t="str">
        <x:v>Subject: [PRIORITY] at [ACCOUNT]
Hi [NAME]—teams in [PEER CONTEXT] are working through [VERIFIED BUSINESS ISSUE]. I assembled a short, role-relevant view of approaches and proof for [PERSONA].</x:v>
      </x:c>
      <x:c r="F5" s="16" t="str">
        <x:v>Worth a 15-minute comparison?</x:v>
      </x:c>
      <x:c r="G5" s="16" t="str">
        <x:v>Hold if fit, ownership, capacity or evidence fails</x:v>
      </x:c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88" customHeight="1">
      <x:c r="A6" s="16" t="str">
        <x:v>BDR verified surge</x:v>
      </x:c>
      <x:c r="B6" s="16" t="str">
        <x:v>2 / Day 2</x:v>
      </x:c>
      <x:c r="C6" s="16" t="str">
        <x:v>LinkedIn</x:v>
      </x:c>
      <x:c r="D6" s="16" t="str">
        <x:v>Create familiarity</x:v>
      </x:c>
      <x:c r="E6" s="16" t="str">
        <x:v>Connect with a concise note grounded in the person’s role and a public/approved business priority.</x:v>
      </x:c>
      <x:c r="F6" s="16" t="str">
        <x:v>View the tailored resource</x:v>
      </x:c>
      <x:c r="G6" s="16" t="str">
        <x:v>No generic intent claim</x:v>
      </x:c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88" customHeight="1">
      <x:c r="A7" s="16" t="str">
        <x:v>BDR verified surge</x:v>
      </x:c>
      <x:c r="B7" s="16" t="str">
        <x:v>3 / Day 4</x:v>
      </x:c>
      <x:c r="C7" s="16" t="str">
        <x:v>Call / voicemail</x:v>
      </x:c>
      <x:c r="D7" s="16" t="str">
        <x:v>Validate timing</x:v>
      </x:c>
      <x:c r="E7" s="16" t="str">
        <x:v>Reference the business issue and a single useful outcome; ask whether it is active this half.</x:v>
      </x:c>
      <x:c r="F7" s="16" t="str">
        <x:v>Confirm priority / timing</x:v>
      </x:c>
      <x:c r="G7" s="16" t="str">
        <x:v>Stop after explicit no</x:v>
      </x:c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88" customHeight="1">
      <x:c r="A8" s="16" t="str">
        <x:v>BDR verified surge</x:v>
      </x:c>
      <x:c r="B8" s="16" t="str">
        <x:v>4 / Day 7</x:v>
      </x:c>
      <x:c r="C8" s="16" t="str">
        <x:v>Email</x:v>
      </x:c>
      <x:c r="D8" s="16" t="str">
        <x:v>Add proof</x:v>
      </x:c>
      <x:c r="E8" s="16" t="str">
        <x:v>Share one customer pattern, technical proof or calculator matched to the stakeholder’s job.</x:v>
      </x:c>
      <x:c r="F8" s="16" t="str">
        <x:v>Choose the most relevant path</x:v>
      </x:c>
      <x:c r="G8" s="16" t="str">
        <x:v>Use approved claims only</x:v>
      </x:c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88" customHeight="1">
      <x:c r="A9" s="16" t="str">
        <x:v>BDR verified surge</x:v>
      </x:c>
      <x:c r="B9" s="16" t="str">
        <x:v>5 / Day 11</x:v>
      </x:c>
      <x:c r="C9" s="16" t="str">
        <x:v>Email</x:v>
      </x:c>
      <x:c r="D9" s="16" t="str">
        <x:v>Enable champion</x:v>
      </x:c>
      <x:c r="E9" s="16" t="str">
        <x:v>Provide a forwardable summary for the broader buying group with clear assumptions.</x:v>
      </x:c>
      <x:c r="F9" s="16" t="str">
        <x:v>Forward / invite stakeholder</x:v>
      </x:c>
      <x:c r="G9" s="16" t="str">
        <x:v>No manufactured urgency</x:v>
      </x:c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88" customHeight="1">
      <x:c r="A10" s="16" t="str">
        <x:v>BDR verified surge</x:v>
      </x:c>
      <x:c r="B10" s="16" t="str">
        <x:v>6 / Day 15</x:v>
      </x:c>
      <x:c r="C10" s="16" t="str">
        <x:v>Email</x:v>
      </x:c>
      <x:c r="D10" s="16" t="str">
        <x:v>Close loop</x:v>
      </x:c>
      <x:c r="E10" s="16" t="str">
        <x:v>I may have the timing wrong. I’ll close the loop for now; the resource remains available if [PRIORITY] becomes active.</x:v>
      </x:c>
      <x:c r="F10" s="16" t="str">
        <x:v>Reply with timing</x:v>
      </x:c>
      <x:c r="G10" s="16" t="str">
        <x:v>Downgrade and suppress sequence</x:v>
      </x:c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88" customHeight="1">
      <x:c r="A11" s="16" t="str">
        <x:v>Marketo consideration</x:v>
      </x:c>
      <x:c r="B11" s="16" t="str">
        <x:v>1 / Trigger</x:v>
      </x:c>
      <x:c r="C11" s="16" t="str">
        <x:v>Email</x:v>
      </x:c>
      <x:c r="D11" s="16" t="str">
        <x:v>Orient</x:v>
      </x:c>
      <x:c r="E11" s="16" t="str">
        <x:v>Here is the role-specific guide and a short path through the most relevant content.</x:v>
      </x:c>
      <x:c r="F11" s="16" t="str">
        <x:v>Explore guide</x:v>
      </x:c>
      <x:c r="G11" s="16" t="str">
        <x:v>Consent and frequency rules</x:v>
      </x:c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 ht="88" customHeight="1">
      <x:c r="A12" s="16" t="str">
        <x:v>Marketo consideration</x:v>
      </x:c>
      <x:c r="B12" s="16" t="str">
        <x:v>2 / +3 days</x:v>
      </x:c>
      <x:c r="C12" s="16" t="str">
        <x:v>Email</x:v>
      </x:c>
      <x:c r="D12" s="16" t="str">
        <x:v>Educate</x:v>
      </x:c>
      <x:c r="E12" s="16" t="str">
        <x:v>Share a benchmark, webinar or AEO/GEO answer addressing the next buyer question.</x:v>
      </x:c>
      <x:c r="F12" s="16" t="str">
        <x:v>Learn / register</x:v>
      </x:c>
      <x:c r="G12" s="16" t="str">
        <x:v>Pause on opportunity creation</x:v>
      </x:c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 ht="88" customHeight="1">
      <x:c r="A13" s="16" t="str">
        <x:v>Marketo consideration</x:v>
      </x:c>
      <x:c r="B13" s="16" t="str">
        <x:v>3 / +7 days</x:v>
      </x:c>
      <x:c r="C13" s="16" t="str">
        <x:v>Email</x:v>
      </x:c>
      <x:c r="D13" s="16" t="str">
        <x:v>Build case</x:v>
      </x:c>
      <x:c r="E13" s="16" t="str">
        <x:v>Offer the business-case tool or architecture path based on observed first-party interest.</x:v>
      </x:c>
      <x:c r="F13" s="16" t="str">
        <x:v>Build the case</x:v>
      </x:c>
      <x:c r="G13" s="16" t="str">
        <x:v>No sensitive inference</x:v>
      </x:c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 ht="88" customHeight="1">
      <x:c r="A14" s="16" t="str">
        <x:v>Marketo consideration</x:v>
      </x:c>
      <x:c r="B14" s="16" t="str">
        <x:v>4 / +12 days</x:v>
      </x:c>
      <x:c r="C14" s="16" t="str">
        <x:v>Email</x:v>
      </x:c>
      <x:c r="D14" s="16" t="str">
        <x:v>Add proof</x:v>
      </x:c>
      <x:c r="E14" s="16" t="str">
        <x:v>Share approved customer proof relevant to segment and persona.</x:v>
      </x:c>
      <x:c r="F14" s="16" t="str">
        <x:v>Review proof</x:v>
      </x:c>
      <x:c r="G14" s="16" t="str">
        <x:v>Approved-use check</x:v>
      </x:c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 ht="88" customHeight="1">
      <x:c r="A15" s="16" t="str">
        <x:v>Marketo consideration</x:v>
      </x:c>
      <x:c r="B15" s="16" t="str">
        <x:v>5 / +18 days</x:v>
      </x:c>
      <x:c r="C15" s="16" t="str">
        <x:v>Email</x:v>
      </x:c>
      <x:c r="D15" s="16" t="str">
        <x:v>Branch</x:v>
      </x:c>
      <x:c r="E15" s="16" t="str">
        <x:v>Choose an executive, technical or operational path; high-fit responses may trigger BDR research.</x:v>
      </x:c>
      <x:c r="F15" s="16" t="str">
        <x:v>Choose path</x:v>
      </x:c>
      <x:c r="G15" s="16" t="str">
        <x:v>Route only with corroborated fit + behavior</x:v>
      </x:c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10" hidden="0" customWidth="1"/>
    <x:col min="4" max="4" width="38" hidden="0" customWidth="1"/>
  </x:cols>
  <x:sheetData>
    <x:row r="1" ht="34" customHeight="1">
      <x:c r="A1" s="37" t="str">
        <x:v>Board, Ad, Email and Optimization Prompts</x:v>
      </x:c>
      <x:c r="B1" s="37"/>
      <x:c r="C1" s="37"/>
      <x:c r="D1" s="37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0" customHeight="1">
      <x:c r="A2" s="39" t="str">
        <x:v>Copy a prompt, replace bracketed variables, attach approved source folders and require evidence-backed output.</x:v>
      </x:c>
      <x:c r="B2" s="39"/>
      <x:c r="C2" s="39"/>
      <x:c r="D2" s="39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0" t="str">
        <x:v>Asset</x:v>
      </x:c>
      <x:c r="B4" s="40" t="str">
        <x:v>Use when</x:v>
      </x:c>
      <x:c r="C4" s="40" t="str">
        <x:v>Reusable prompt</x:v>
      </x:c>
      <x:c r="D4" s="40" t="str">
        <x:v>Required inputs / QA</x:v>
      </x:c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118" customHeight="1">
      <x:c r="A5" s="16" t="str">
        <x:v>Folloze cohort board</x:v>
      </x:c>
      <x:c r="B5" s="16" t="str">
        <x:v>Awareness / consideration</x:v>
      </x:c>
      <x:c r="C5" s="16" t="str">
        <x:v>Create a governed Folloze experience for [CUSTOMER_NAME], [SEGMENT] and [PERSONA]. Buyer job: [BUYER_JOB]. Use only approved assets from [CUSTOMER_EXTERNAL_CONTENT_FOLDER], [CUSTOMER_STORIES_FOLDER] and [CUSTOMER_PRODUCT_TECHNICAL_FOLDER]. Structure: hero with outcome, three role-relevant paths, proof, next-step CTA, privacy-safe analytics. Do not invent claims. Return wireframe, module copy, content map and QA checklist.</x:v>
      </x:c>
      <x:c r="D5" s="16" t="str">
        <x:v>Persona, stage, message, proof, CTA, brand, consent</x:v>
      </x:c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118" customHeight="1">
      <x:c r="A6" s="16" t="str">
        <x:v>Folloze 1:1 board</x:v>
      </x:c>
      <x:c r="B6" s="16" t="str">
        <x:v>Verified decision surge</x:v>
      </x:c>
      <x:c r="C6" s="16" t="str">
        <x:v>Create an account-specific Folloze board for [ACCOUNT] using verified CRM, 6sense and Folloze evidence. Separate facts from hypotheses. Include business-priority summary, buying-team paths, proof, implementation view and champion-forwardable recap. Never expose surveillance language. Return personalization tokens, factual-review checklist and fallback copy.</x:v>
      </x:c>
      <x:c r="D6" s="16" t="str">
        <x:v>Verified evidence, owner, capacity, stakeholders, approved proof</x:v>
      </x:c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118" customHeight="1">
      <x:c r="A7" s="16" t="str">
        <x:v>LinkedIn ads</x:v>
      </x:c>
      <x:c r="B7" s="16" t="str">
        <x:v>Target through consideration</x:v>
      </x:c>
      <x:c r="C7" s="16" t="str">
        <x:v>Generate 6 LinkedIn ad variants for [PERSONA] at [STAGE] within [SEGMENT]. Use the message [MESSAGE]. Provide hook, body, headline, CTA and matching Folloze destination. Include two educational, two proof-led and two event/community variants. Avoid unapproved performance claims and do not mention intent data.</x:v>
      </x:c>
      <x:c r="D7" s="16" t="str">
        <x:v>Audience, exclusions, offer, destination, brand rules</x:v>
      </x:c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118" customHeight="1">
      <x:c r="A8" s="16" t="str">
        <x:v>BDR sequence</x:v>
      </x:c>
      <x:c r="B8" s="16" t="str">
        <x:v>Verified surge / decision</x:v>
      </x:c>
      <x:c r="C8" s="16" t="str">
        <x:v>Build a six-touch, 15-day BDR sequence for [PERSONA] at [ACCOUNT]. Evidence allowed: [VERIFIED_SIGNALS]. Business priority: [PRIORITY]. Include email, LinkedIn, call and champion-forwardable touches. Explain relevance without revealing tracking. Add stop, downgrade and suppression rules.</x:v>
      </x:c>
      <x:c r="D8" s="16" t="str">
        <x:v>Fit, evidence, capacity, owner, value hypothesis, approved proof</x:v>
      </x:c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118" customHeight="1">
      <x:c r="A9" s="16" t="str">
        <x:v>Marketo nurture</x:v>
      </x:c>
      <x:c r="B9" s="16" t="str">
        <x:v>Awareness / consideration</x:v>
      </x:c>
      <x:c r="C9" s="16" t="str">
        <x:v>Build a five-touch Marketo nurture for [PERSONA] in [SEGMENT]. Map each email to buyer job, content, Folloze destination and measurable CTA. Include branching for executive, technical and operational interest plus opportunity and suppression exits.</x:v>
      </x:c>
      <x:c r="D9" s="16" t="str">
        <x:v>Consent, frequency, persona, content map, stage and exits</x:v>
      </x:c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118" customHeight="1">
      <x:c r="A10" s="16" t="str">
        <x:v>Campaign brief</x:v>
      </x:c>
      <x:c r="B10" s="16" t="str">
        <x:v>Before launch</x:v>
      </x:c>
      <x:c r="C10" s="16" t="str">
        <x:v>Create an executable ABX campaign brief for [CAMPAIGN] targeting [ACCOUNT_COHORT]. Include objective, acquisition/expansion split, personas, stage, offer, channels, content, 6sense audience logic, Folloze experience, Marketo program, BDR motion, 24-hour surge response, opportunity target, value and measurement plan.</x:v>
      </x:c>
      <x:c r="D10" s="16" t="str">
        <x:v>Approved inputs, owners, budget, capacity and dates</x:v>
      </x:c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118" customHeight="1">
      <x:c r="A11" s="16" t="str">
        <x:v>Optimization review</x:v>
      </x:c>
      <x:c r="B11" s="16" t="str">
        <x:v>Monthly</x:v>
      </x:c>
      <x:c r="C11" s="16" t="str">
        <x:v>Analyze [PERIOD] ABX performance using account coverage, persona reach, 6sense progression, Folloze engagement depth, BDR SLA, opportunity creation, value and acquisition/expansion mix. Separate signal from causation. Recommend continue, change, stop and test actions with owners and expected impact.</x:v>
      </x:c>
      <x:c r="D11" s="16" t="str">
        <x:v>Platform exports, baseline, target, decision log</x:v>
      </x:c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mergeCells>
    <x:mergeCell ref="A1:D1"/>
    <x:mergeCell ref="A2:D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24" hidden="0" customWidth="1"/>
    <x:col min="4" max="4" width="18" hidden="0" customWidth="1"/>
    <x:col min="5" max="5" width="22" hidden="0" customWidth="1"/>
    <x:col min="6" max="6" width="30" hidden="0" customWidth="1"/>
    <x:col min="7" max="7" width="25" hidden="0" customWidth="1"/>
  </x:cols>
  <x:sheetData>
    <x:row r="1" ht="34" customHeight="1">
      <x:c r="A1" s="37" t="str">
        <x:v>Measurement, Governance and Optimization</x:v>
      </x:c>
      <x:c r="B1" s="37"/>
      <x:c r="C1" s="37"/>
      <x:c r="D1" s="37"/>
      <x:c r="E1" s="37"/>
      <x:c r="F1" s="37"/>
      <x:c r="G1" s="37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0" customHeight="1">
      <x:c r="A2" s="39" t="str">
        <x:v>Measure stage quality before volume. Opportunity and value metrics are authoritative only when CRM requirements are satisfied.</x:v>
      </x:c>
      <x:c r="B2" s="39"/>
      <x:c r="C2" s="39"/>
      <x:c r="D2" s="39"/>
      <x:c r="E2" s="39"/>
      <x:c r="F2" s="39"/>
      <x:c r="G2" s="39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0" t="str">
        <x:v>Stage / layer</x:v>
      </x:c>
      <x:c r="B4" s="40" t="str">
        <x:v>Business question</x:v>
      </x:c>
      <x:c r="C4" s="40" t="str">
        <x:v>Measures</x:v>
      </x:c>
      <x:c r="D4" s="40" t="str">
        <x:v>System of record</x:v>
      </x:c>
      <x:c r="E4" s="40" t="str">
        <x:v>Cadence</x:v>
      </x:c>
      <x:c r="F4" s="40" t="str">
        <x:v>Owner</x:v>
      </x:c>
      <x:c r="G4" s="40" t="str">
        <x:v>Decision / threshold</x:v>
      </x:c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76" customHeight="1">
      <x:c r="A5" s="16" t="str">
        <x:v>Foundation</x:v>
      </x:c>
      <x:c r="B5" s="16" t="str">
        <x:v>Is the universe usable?</x:v>
      </x:c>
      <x:c r="C5" s="16" t="str">
        <x:v>Account completeness, ownership, capacity qualification, suppression coverage</x:v>
      </x:c>
      <x:c r="D5" s="16" t="str">
        <x:v>Salesforce + 6sense</x:v>
      </x:c>
      <x:c r="E5" s="16" t="str">
        <x:v>Weekly during Crawl</x:v>
      </x:c>
      <x:c r="F5" s="16" t="str">
        <x:v>Ops</x:v>
      </x:c>
      <x:c r="G5" s="16" t="str">
        <x:v>Do not launch below approved completeness</x:v>
      </x:c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76" customHeight="1">
      <x:c r="A6" s="16" t="str">
        <x:v>Target</x:v>
      </x:c>
      <x:c r="B6" s="16" t="str">
        <x:v>Are we reaching the right accounts and personas?</x:v>
      </x:c>
      <x:c r="C6" s="16" t="str">
        <x:v>Account coverage, persona coverage, matched audience rate, acquisition/expansion mix</x:v>
      </x:c>
      <x:c r="D6" s="16" t="str">
        <x:v>6sense + LinkedIn</x:v>
      </x:c>
      <x:c r="E6" s="16" t="str">
        <x:v>Weekly</x:v>
      </x:c>
      <x:c r="F6" s="16" t="str">
        <x:v>ABM manager</x:v>
      </x:c>
      <x:c r="G6" s="16" t="str">
        <x:v>Repair gaps before increasing spend</x:v>
      </x:c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76" customHeight="1">
      <x:c r="A7" s="16" t="str">
        <x:v>Awareness</x:v>
      </x:c>
      <x:c r="B7" s="16" t="str">
        <x:v>Are buyers discovering and engaging?</x:v>
      </x:c>
      <x:c r="C7" s="16" t="str">
        <x:v>6sense stage movement, event response, Folloze account visits, engaged people</x:v>
      </x:c>
      <x:c r="D7" s="16" t="str">
        <x:v>6sense + Folloze + Marketo</x:v>
      </x:c>
      <x:c r="E7" s="16" t="str">
        <x:v>Biweekly</x:v>
      </x:c>
      <x:c r="F7" s="16" t="str">
        <x:v>Demand / ABM</x:v>
      </x:c>
      <x:c r="G7" s="16" t="str">
        <x:v>Require fit + behavior; no intent-only outreach</x:v>
      </x:c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76" customHeight="1">
      <x:c r="A8" s="16" t="str">
        <x:v>Consideration</x:v>
      </x:c>
      <x:c r="B8" s="16" t="str">
        <x:v>Is engagement deepening across the buying group?</x:v>
      </x:c>
      <x:c r="C8" s="16" t="str">
        <x:v>Content depth, return visits, multi-person engagement, nurture progression, meeting interest</x:v>
      </x:c>
      <x:c r="D8" s="16" t="str">
        <x:v>Folloze + Marketo</x:v>
      </x:c>
      <x:c r="E8" s="16" t="str">
        <x:v>Biweekly</x:v>
      </x:c>
      <x:c r="F8" s="16" t="str">
        <x:v>ABM + BDR</x:v>
      </x:c>
      <x:c r="G8" s="16" t="str">
        <x:v>Upgrade only with approved corroboration</x:v>
      </x:c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76" customHeight="1">
      <x:c r="A9" s="16" t="str">
        <x:v>Decision</x:v>
      </x:c>
      <x:c r="B9" s="16" t="str">
        <x:v>Are verified signals receiving a timely, relevant response?</x:v>
      </x:c>
      <x:c r="C9" s="16" t="str">
        <x:v>24-hour SLA, research quality, sequence response, meeting conversion</x:v>
      </x:c>
      <x:c r="D9" s="16" t="str">
        <x:v>Salesforce + Outreach/Salesloft</x:v>
      </x:c>
      <x:c r="E9" s="16" t="str">
        <x:v>Weekly</x:v>
      </x:c>
      <x:c r="F9" s="16" t="str">
        <x:v>BDR leader</x:v>
      </x:c>
      <x:c r="G9" s="16" t="str">
        <x:v>Investigate every missed verified surge</x:v>
      </x:c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76" customHeight="1">
      <x:c r="A10" s="16" t="str">
        <x:v>Opportunity</x:v>
      </x:c>
      <x:c r="B10" s="16" t="str">
        <x:v>Are we creating the right value?</x:v>
      </x:c>
      <x:c r="C10" s="16" t="str">
        <x:v>Opportunities, acquisition vs expansion, amount, stage, contact roles, next step, velocity</x:v>
      </x:c>
      <x:c r="D10" s="16" t="str">
        <x:v>Salesforce</x:v>
      </x:c>
      <x:c r="E10" s="16" t="str">
        <x:v>Monthly</x:v>
      </x:c>
      <x:c r="F10" s="16" t="str">
        <x:v>Sales + marketing</x:v>
      </x:c>
      <x:c r="G10" s="16" t="str">
        <x:v>100 opportunities and value target</x:v>
      </x:c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76" customHeight="1">
      <x:c r="A11" s="16" t="str">
        <x:v>Experience</x:v>
      </x:c>
      <x:c r="B11" s="16" t="str">
        <x:v>Which content and paths help buyers advance?</x:v>
      </x:c>
      <x:c r="C11" s="16" t="str">
        <x:v>Folloze engagement by persona/stage, content contribution, champion forwarding</x:v>
      </x:c>
      <x:c r="D11" s="16" t="str">
        <x:v>Folloze</x:v>
      </x:c>
      <x:c r="E11" s="16" t="str">
        <x:v>Monthly</x:v>
      </x:c>
      <x:c r="F11" s="16" t="str">
        <x:v>Content / ABM</x:v>
      </x:c>
      <x:c r="G11" s="16" t="str">
        <x:v>Refresh low-value modules</x:v>
      </x:c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 ht="76" customHeight="1">
      <x:c r="A12" s="16" t="str">
        <x:v>Program</x:v>
      </x:c>
      <x:c r="B12" s="16" t="str">
        <x:v>What should continue, change, stop or scale?</x:v>
      </x:c>
      <x:c r="C12" s="16" t="str">
        <x:v>Cohort economics, channel contribution, pipeline value, win rate, bookings</x:v>
      </x:c>
      <x:c r="D12" s="16" t="str">
        <x:v>BI / Salesforce</x:v>
      </x:c>
      <x:c r="E12" s="16" t="str">
        <x:v>Monthly / quarterly</x:v>
      </x:c>
      <x:c r="F12" s="16" t="str">
        <x:v>Steering committee</x:v>
      </x:c>
      <x:c r="G12" s="16" t="str">
        <x:v>Decision logged with owner and due date</x:v>
      </x:c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 ht="24" customHeight="1">
      <x:c r="A14" s="41" t="str">
        <x:v>Required platform outputs</x:v>
      </x:c>
      <x:c r="B14" s="41"/>
      <x:c r="C14" s="41"/>
      <x:c r="D14" s="41"/>
      <x:c r="E14" s="41"/>
      <x:c r="F14" s="41"/>
      <x:c r="G14" s="41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40" t="str">
        <x:v>Platform</x:v>
      </x:c>
      <x:c r="B15" s="40" t="str">
        <x:v>Required outputs</x:v>
      </x:c>
      <x:c r="C15" s="40" t="str">
        <x:v>Join key</x:v>
      </x:c>
      <x:c r="D15" s="40" t="str">
        <x:v>Freshness</x:v>
      </x:c>
      <x:c r="E15" s="40" t="str">
        <x:v>Owner</x:v>
      </x:c>
      <x:c r="F15" s="40" t="str">
        <x:v>QA</x:v>
      </x:c>
      <x:c r="G15" s="40" t="str">
        <x:v>Destination</x:v>
      </x:c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16" t="str">
        <x:v>6sense</x:v>
      </x:c>
      <x:c r="B16" s="16" t="str">
        <x:v>Account stage, intent topics, surge, audience membership, fit</x:v>
      </x:c>
      <x:c r="C16" s="16" t="str">
        <x:v>Account/domain</x:v>
      </x:c>
      <x:c r="D16" s="16" t="str">
        <x:v>Daily</x:v>
      </x:c>
      <x:c r="E16" s="16" t="str">
        <x:v>Marketing ops</x:v>
      </x:c>
      <x:c r="F16" s="16" t="str">
        <x:v>Stage and topic definitions</x:v>
      </x:c>
      <x:c r="G16" s="16" t="str">
        <x:v>Orchestration + BI</x:v>
      </x:c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16" t="str">
        <x:v>Folloze</x:v>
      </x:c>
      <x:c r="B17" s="16" t="str">
        <x:v>Account/person engagement, content, recency, depth, board</x:v>
      </x:c>
      <x:c r="C17" s="16" t="str">
        <x:v>Account/person</x:v>
      </x:c>
      <x:c r="D17" s="16" t="str">
        <x:v>Near real time</x:v>
      </x:c>
      <x:c r="E17" s="16" t="str">
        <x:v>ABM ops</x:v>
      </x:c>
      <x:c r="F17" s="16" t="str">
        <x:v>Identity and bot filters</x:v>
      </x:c>
      <x:c r="G17" s="16" t="str">
        <x:v>6sense/CRM/BI</x:v>
      </x:c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16" t="str">
        <x:v>Salesforce</x:v>
      </x:c>
      <x:c r="B18" s="16" t="str">
        <x:v>Owner, account, opportunity, amount, stage, next step, contact roles, activities</x:v>
      </x:c>
      <x:c r="C18" s="16" t="str">
        <x:v>Account/opportunity</x:v>
      </x:c>
      <x:c r="D18" s="16" t="str">
        <x:v>Near real time</x:v>
      </x:c>
      <x:c r="E18" s="16" t="str">
        <x:v>RevOps</x:v>
      </x:c>
      <x:c r="F18" s="16" t="str">
        <x:v>Required fields</x:v>
      </x:c>
      <x:c r="G18" s="16" t="str">
        <x:v>System of record</x:v>
      </x:c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16" t="str">
        <x:v>Marketo</x:v>
      </x:c>
      <x:c r="B19" s="16" t="str">
        <x:v>Program membership, email engagement, score, consent, lifecycle</x:v>
      </x:c>
      <x:c r="C19" s="16" t="str">
        <x:v>Person/account</x:v>
      </x:c>
      <x:c r="D19" s="16" t="str">
        <x:v>Daily</x:v>
      </x:c>
      <x:c r="E19" s="16" t="str">
        <x:v>Marketing ops</x:v>
      </x:c>
      <x:c r="F19" s="16" t="str">
        <x:v>Consent and bot filters</x:v>
      </x:c>
      <x:c r="G19" s="16" t="str">
        <x:v>CRM/BI</x:v>
      </x:c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16" t="str">
        <x:v>LinkedIn</x:v>
      </x:c>
      <x:c r="B20" s="16" t="str">
        <x:v>Matched accounts, persona reach, spend, engagement, destination</x:v>
      </x:c>
      <x:c r="C20" s="16" t="str">
        <x:v>Campaign/account</x:v>
      </x:c>
      <x:c r="D20" s="16" t="str">
        <x:v>Weekly</x:v>
      </x:c>
      <x:c r="E20" s="16" t="str">
        <x:v>Paid media</x:v>
      </x:c>
      <x:c r="F20" s="16" t="str">
        <x:v>Audience and UTM QA</x:v>
      </x:c>
      <x:c r="G20" s="16" t="str">
        <x:v>BI</x:v>
      </x:c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16" t="str">
        <x:v>Outreach/Salesloft</x:v>
      </x:c>
      <x:c r="B21" s="16" t="str">
        <x:v>Enrollment, touches, replies, meetings, dispositions, SLA</x:v>
      </x:c>
      <x:c r="C21" s="16" t="str">
        <x:v>Person/account</x:v>
      </x:c>
      <x:c r="D21" s="16" t="str">
        <x:v>Daily</x:v>
      </x:c>
      <x:c r="E21" s="16" t="str">
        <x:v>Sales ops</x:v>
      </x:c>
      <x:c r="F21" s="16" t="str">
        <x:v>Sequence and disposition QA</x:v>
      </x:c>
      <x:c r="G21" s="16" t="str">
        <x:v>CRM/BI</x:v>
      </x:c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mergeCells>
    <x:mergeCell ref="A1:G1"/>
    <x:mergeCell ref="A2:G2"/>
    <x:mergeCell ref="A14:G1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5" hidden="0" customWidth="1"/>
    <x:col min="3" max="3" width="35" hidden="0" customWidth="1"/>
    <x:col min="4" max="4" width="36" hidden="0" customWidth="1"/>
    <x:col min="5" max="5" width="30" hidden="0" customWidth="1"/>
    <x:col min="6" max="6" width="34" hidden="0" customWidth="1"/>
  </x:cols>
  <x:sheetData>
    <x:row r="1" ht="34" customHeight="1">
      <x:c r="A1" s="37" t="str">
        <x:v>Customer Source Folder Register</x:v>
      </x:c>
      <x:c r="B1" s="37"/>
      <x:c r="C1" s="37"/>
      <x:c r="D1" s="37"/>
      <x:c r="E1" s="37"/>
      <x:c r="F1" s="37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0" customHeight="1">
      <x:c r="A2" s="39" t="str">
        <x:v>Replace every placeholder with a customer folder URL. Do not place customer-specific facts in the reusable master template.</x:v>
      </x:c>
      <x:c r="B2" s="39"/>
      <x:c r="C2" s="39"/>
      <x:c r="D2" s="39"/>
      <x:c r="E2" s="39"/>
      <x:c r="F2" s="39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0" t="str">
        <x:v>Placeholder</x:v>
      </x:c>
      <x:c r="B4" s="40" t="str">
        <x:v>Expected contents</x:v>
      </x:c>
      <x:c r="C4" s="40" t="str">
        <x:v>Owner</x:v>
      </x:c>
      <x:c r="D4" s="40" t="str">
        <x:v>Last reviewed</x:v>
      </x:c>
      <x:c r="E4" s="40" t="str">
        <x:v>Approved use</x:v>
      </x:c>
      <x:c r="F4" s="40" t="str">
        <x:v>Folder URL / notes</x:v>
      </x:c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46" customHeight="1">
      <x:c r="A5" s="16" t="str">
        <x:v>[CUSTOMER_ROOT_FOLDER]</x:v>
      </x:c>
      <x:c r="B5" s="16" t="str">
        <x:v>Top-level customer workspace</x:v>
      </x:c>
      <x:c r="C5" s="21" t="str">
        <x:v>[OWNER]</x:v>
      </x:c>
      <x:c r="D5" s="21" t="str">
        <x:v>[DATE]</x:v>
      </x:c>
      <x:c r="E5" s="21" t="str">
        <x:v>Internal</x:v>
      </x:c>
      <x:c r="F5" s="21" t="str">
        <x:v>[PASTE_FOLDER_URL]</x:v>
      </x:c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46" customHeight="1">
      <x:c r="A6" s="16" t="str">
        <x:v>[CUSTOMER_STRATEGY_FOLDER]</x:v>
      </x:c>
      <x:c r="B6" s="16" t="str">
        <x:v>Business priorities, market strategy, annual plan</x:v>
      </x:c>
      <x:c r="C6" s="21" t="str">
        <x:v>[OWNER]</x:v>
      </x:c>
      <x:c r="D6" s="21" t="str">
        <x:v>[DATE]</x:v>
      </x:c>
      <x:c r="E6" s="21" t="str">
        <x:v>Internal</x:v>
      </x:c>
      <x:c r="F6" s="21" t="str">
        <x:v>[PASTE_FOLDER_URL]</x:v>
      </x:c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46" customHeight="1">
      <x:c r="A7" s="16" t="str">
        <x:v>[CUSTOMER_SEGMENT_AND_ACCOUNT_FOLDER]</x:v>
      </x:c>
      <x:c r="B7" s="16" t="str">
        <x:v>ICP, account list, segment and territory data</x:v>
      </x:c>
      <x:c r="C7" s="21" t="str">
        <x:v>[OWNER]</x:v>
      </x:c>
      <x:c r="D7" s="21" t="str">
        <x:v>[DATE]</x:v>
      </x:c>
      <x:c r="E7" s="21" t="str">
        <x:v>Restricted</x:v>
      </x:c>
      <x:c r="F7" s="21" t="str">
        <x:v>[PASTE_FOLDER_URL]</x:v>
      </x:c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46" customHeight="1">
      <x:c r="A8" s="16" t="str">
        <x:v>[CUSTOMER_INTERNAL_ENABLEMENT_FOLDER]</x:v>
      </x:c>
      <x:c r="B8" s="16" t="str">
        <x:v>Playbooks, messaging, enablement and process</x:v>
      </x:c>
      <x:c r="C8" s="21" t="str">
        <x:v>[OWNER]</x:v>
      </x:c>
      <x:c r="D8" s="21" t="str">
        <x:v>[DATE]</x:v>
      </x:c>
      <x:c r="E8" s="21" t="str">
        <x:v>Internal</x:v>
      </x:c>
      <x:c r="F8" s="21" t="str">
        <x:v>[PASTE_FOLDER_URL]</x:v>
      </x:c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46" customHeight="1">
      <x:c r="A9" s="16" t="str">
        <x:v>[CUSTOMER_EXTERNAL_CONTENT_FOLDER]</x:v>
      </x:c>
      <x:c r="B9" s="16" t="str">
        <x:v>Public thought leadership, webinars, guides</x:v>
      </x:c>
      <x:c r="C9" s="21" t="str">
        <x:v>[OWNER]</x:v>
      </x:c>
      <x:c r="D9" s="21" t="str">
        <x:v>[DATE]</x:v>
      </x:c>
      <x:c r="E9" s="21" t="str">
        <x:v>External-approved</x:v>
      </x:c>
      <x:c r="F9" s="21" t="str">
        <x:v>[PASTE_FOLDER_URL]</x:v>
      </x:c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46" customHeight="1">
      <x:c r="A10" s="16" t="str">
        <x:v>[CUSTOMER_STORIES_FOLDER]</x:v>
      </x:c>
      <x:c r="B10" s="16" t="str">
        <x:v>Approved customer stories, proof and references</x:v>
      </x:c>
      <x:c r="C10" s="21" t="str">
        <x:v>[OWNER]</x:v>
      </x:c>
      <x:c r="D10" s="21" t="str">
        <x:v>[DATE]</x:v>
      </x:c>
      <x:c r="E10" s="21" t="str">
        <x:v>Check rights</x:v>
      </x:c>
      <x:c r="F10" s="21" t="str">
        <x:v>[PASTE_FOLDER_URL]</x:v>
      </x:c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46" customHeight="1">
      <x:c r="A11" s="16" t="str">
        <x:v>[CUSTOMER_PRODUCT_TECHNICAL_FOLDER]</x:v>
      </x:c>
      <x:c r="B11" s="16" t="str">
        <x:v>Product, architecture, security, implementation</x:v>
      </x:c>
      <x:c r="C11" s="21" t="str">
        <x:v>[OWNER]</x:v>
      </x:c>
      <x:c r="D11" s="21" t="str">
        <x:v>[DATE]</x:v>
      </x:c>
      <x:c r="E11" s="21" t="str">
        <x:v>Audience-specific</x:v>
      </x:c>
      <x:c r="F11" s="21" t="str">
        <x:v>[PASTE_FOLDER_URL]</x:v>
      </x:c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 ht="46" customHeight="1">
      <x:c r="A12" s="16" t="str">
        <x:v>[CUSTOMER_BRAND_FOLDER]</x:v>
      </x:c>
      <x:c r="B12" s="16" t="str">
        <x:v>Brand, voice, logos, accessibility and legal rules</x:v>
      </x:c>
      <x:c r="C12" s="21" t="str">
        <x:v>[OWNER]</x:v>
      </x:c>
      <x:c r="D12" s="21" t="str">
        <x:v>[DATE]</x:v>
      </x:c>
      <x:c r="E12" s="21" t="str">
        <x:v>External-approved</x:v>
      </x:c>
      <x:c r="F12" s="21" t="str">
        <x:v>[PASTE_FOLDER_URL]</x:v>
      </x:c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 ht="46" customHeight="1">
      <x:c r="A13" s="16" t="str">
        <x:v>[CUSTOMER_DATA_EXPORT_FOLDER]</x:v>
      </x:c>
      <x:c r="B13" s="16" t="str">
        <x:v>6sense, Folloze, Salesforce, Marketo, LinkedIn and sales-engagement exports</x:v>
      </x:c>
      <x:c r="C13" s="21" t="str">
        <x:v>[OWNER]</x:v>
      </x:c>
      <x:c r="D13" s="21" t="str">
        <x:v>[DATE]</x:v>
      </x:c>
      <x:c r="E13" s="21" t="str">
        <x:v>Restricted</x:v>
      </x:c>
      <x:c r="F13" s="21" t="str">
        <x:v>[PASTE_FOLDER_URL]</x:v>
      </x:c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 ht="46" customHeight="1">
      <x:c r="A14" s="16" t="str">
        <x:v>[CUSTOMER_EXISTING_CAMPAIGNS_FOLDER]</x:v>
      </x:c>
      <x:c r="B14" s="16" t="str">
        <x:v>Campaigns, boards, emails, ads and results</x:v>
      </x:c>
      <x:c r="C14" s="21" t="str">
        <x:v>[OWNER]</x:v>
      </x:c>
      <x:c r="D14" s="21" t="str">
        <x:v>[DATE]</x:v>
      </x:c>
      <x:c r="E14" s="21" t="str">
        <x:v>Internal</x:v>
      </x:c>
      <x:c r="F14" s="21" t="str">
        <x:v>[PASTE_FOLDER_URL]</x:v>
      </x:c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 ht="46" customHeight="1">
      <x:c r="A15" s="16" t="str">
        <x:v>[CUSTOMER_OUTPUT_FOLDER]</x:v>
      </x:c>
      <x:c r="B15" s="16" t="str">
        <x:v>Approved workbook, briefs, prompts, boards and reporting</x:v>
      </x:c>
      <x:c r="C15" s="21" t="str">
        <x:v>[OWNER]</x:v>
      </x:c>
      <x:c r="D15" s="21" t="str">
        <x:v>[DATE]</x:v>
      </x:c>
      <x:c r="E15" s="21" t="str">
        <x:v>Governed</x:v>
      </x:c>
      <x:c r="F15" s="21" t="str">
        <x:v>[PASTE_FOLDER_URL]</x:v>
      </x:c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 ht="46" customHeight="1">
      <x:c r="A16" s="16" t="str">
        <x:v>[ACADEMY_TEMPLATE_FOLDER]</x:v>
      </x:c>
      <x:c r="B16" s="16" t="str">
        <x:v>Folloze Academy ABX Blueprint and reusable methodology</x:v>
      </x:c>
      <x:c r="C16" s="21" t="str">
        <x:v>[OWNER]</x:v>
      </x:c>
      <x:c r="D16" s="21" t="str">
        <x:v>[DATE]</x:v>
      </x:c>
      <x:c r="E16" s="21" t="str">
        <x:v>Reusable</x:v>
      </x:c>
      <x:c r="F16" s="21" t="str">
        <x:v>[PASTE_FOLDER_URL]</x:v>
      </x:c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 ht="24" customHeight="1">
      <x:c r="A18" s="41" t="str">
        <x:v>Source audit decisions</x:v>
      </x:c>
      <x:c r="B18" s="41"/>
      <x:c r="C18" s="41"/>
      <x:c r="D18" s="41"/>
      <x:c r="E18" s="41"/>
      <x:c r="F18" s="41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40" t="str">
        <x:v>Source</x:v>
      </x:c>
      <x:c r="B19" s="40" t="str">
        <x:v>Reusable method</x:v>
      </x:c>
      <x:c r="C19" s="40" t="str">
        <x:v>Customer-specific fact</x:v>
      </x:c>
      <x:c r="D19" s="40" t="str">
        <x:v>Approved evidence</x:v>
      </x:c>
      <x:c r="E19" s="40" t="str">
        <x:v>Gap / conflict</x:v>
      </x:c>
      <x:c r="F19" s="40" t="str">
        <x:v>Decision / owner</x:v>
      </x:c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21" t="str">
        <x:v>[SOURCE_NAME]</x:v>
      </x:c>
      <x:c r="B20" s="21" t="str">
        <x:v>[YES/NO + DETAIL]</x:v>
      </x:c>
      <x:c r="C20" s="21" t="str">
        <x:v>[YES/NO + DETAIL]</x:v>
      </x:c>
      <x:c r="D20" s="21" t="str">
        <x:v>[CITATION / LOCATION]</x:v>
      </x:c>
      <x:c r="E20" s="21" t="str">
        <x:v>[GAP]</x:v>
      </x:c>
      <x:c r="F20" s="21" t="str">
        <x:v>[DECISION / OWNER]</x:v>
      </x:c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21" t="str">
        <x:v>[SOURCE_NAME]</x:v>
      </x:c>
      <x:c r="B21" s="21" t="str">
        <x:v>[YES/NO + DETAIL]</x:v>
      </x:c>
      <x:c r="C21" s="21" t="str">
        <x:v>[YES/NO + DETAIL]</x:v>
      </x:c>
      <x:c r="D21" s="21" t="str">
        <x:v>[CITATION / LOCATION]</x:v>
      </x:c>
      <x:c r="E21" s="21" t="str">
        <x:v>[GAP]</x:v>
      </x:c>
      <x:c r="F21" s="21" t="str">
        <x:v>[DECISION / OWNER]</x:v>
      </x:c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21" t="str">
        <x:v>[SOURCE_NAME]</x:v>
      </x:c>
      <x:c r="B22" s="21" t="str">
        <x:v>[YES/NO + DETAIL]</x:v>
      </x:c>
      <x:c r="C22" s="21" t="str">
        <x:v>[YES/NO + DETAIL]</x:v>
      </x:c>
      <x:c r="D22" s="21" t="str">
        <x:v>[CITATION / LOCATION]</x:v>
      </x:c>
      <x:c r="E22" s="21" t="str">
        <x:v>[GAP]</x:v>
      </x:c>
      <x:c r="F22" s="21" t="str">
        <x:v>[DECISION / OWNER]</x:v>
      </x:c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</x:sheetData>
  <x:mergeCells>
    <x:mergeCell ref="A1:F1"/>
    <x:mergeCell ref="A2:F2"/>
    <x:mergeCell ref="A18:F18"/>
  </x:mergeCells>
  <x:dataValidations count="1">
    <x:dataValidation type="list" sqref="E5:E16">
      <x:formula1>"Internal,Restricted,External-approved,Check rights,Audience-specific,Governed,Reusable"</x:formula1>
    </x:dataValidation>
  </x:dataValidations>
  <x:pageMargins left="0.7" right="0.7" top="0.75" bottom="0.75" header="0.3" footer="0.3"/>
</x:worksheet>
</file>